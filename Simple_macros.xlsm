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denis\Downloads\"/>
    </mc:Choice>
  </mc:AlternateContent>
  <xr:revisionPtr revIDLastSave="0" documentId="13_ncr:1_{A36F7FED-03E0-4C71-ABF6-9A3F393B2D23}" xr6:coauthVersionLast="47" xr6:coauthVersionMax="47" xr10:uidLastSave="{00000000-0000-0000-0000-000000000000}"/>
  <bookViews>
    <workbookView xWindow="28680" yWindow="825" windowWidth="19440" windowHeight="15000" xr2:uid="{79BEFD80-1B11-4324-BA40-4D8566896EF9}"/>
  </bookViews>
  <sheets>
    <sheet name="Macros" sheetId="5" r:id="rId1"/>
    <sheet name="Orders" sheetId="1" r:id="rId2"/>
    <sheet name="Диаграмма1" sheetId="3" state="hidden" r:id="rId3"/>
    <sheet name="ButtonGo" sheetId="2" r:id="rId4"/>
    <sheet name="Simple" sheetId="4" r:id="rId5"/>
  </sheets>
  <definedNames>
    <definedName name="_xlchart.v1.0" hidden="1">Simple!$B$1:$B$100</definedName>
    <definedName name="_xlchart.v1.1" hidden="1">Simple!$G$1:$G$100</definedName>
    <definedName name="_xlnm._FilterDatabase" localSheetId="0" hidden="1">Macros!$H$2:$H$16</definedName>
    <definedName name="_xlnm.Extract" localSheetId="0">Macros!$N$4:$N$17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" i="5" l="1"/>
  <c r="M3" i="5"/>
  <c r="E16" i="5"/>
  <c r="E15" i="5"/>
  <c r="E14" i="5"/>
  <c r="E13" i="5"/>
  <c r="E12" i="5"/>
  <c r="E10" i="5"/>
  <c r="E9" i="5"/>
  <c r="E8" i="5"/>
  <c r="E7" i="5"/>
  <c r="E6" i="5"/>
  <c r="E5" i="5"/>
  <c r="E4" i="5"/>
  <c r="E3" i="5"/>
  <c r="E2" i="5"/>
  <c r="E1" i="5"/>
  <c r="F2" i="4"/>
  <c r="F1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4" i="4"/>
  <c r="E2" i="4"/>
  <c r="E3" i="4"/>
  <c r="E1" i="4"/>
  <c r="E11" i="5"/>
</calcChain>
</file>

<file path=xl/sharedStrings.xml><?xml version="1.0" encoding="utf-8"?>
<sst xmlns="http://schemas.openxmlformats.org/spreadsheetml/2006/main" count="342" uniqueCount="172">
  <si>
    <t>ORDER LIST</t>
  </si>
  <si>
    <t>No.</t>
  </si>
  <si>
    <t>Date</t>
  </si>
  <si>
    <t>Customer</t>
  </si>
  <si>
    <t>Product name</t>
  </si>
  <si>
    <t>Original Price (€)</t>
  </si>
  <si>
    <t>Quantity</t>
  </si>
  <si>
    <t>Discount (%)</t>
  </si>
  <si>
    <t>Discount (€)</t>
  </si>
  <si>
    <t>Amount (€)</t>
  </si>
  <si>
    <t>Freya Stevens</t>
  </si>
  <si>
    <t>Red ballpoint pen</t>
  </si>
  <si>
    <t>Nash Doyle</t>
  </si>
  <si>
    <t>Blue ballpoint pen</t>
  </si>
  <si>
    <t>Sam Jordan</t>
  </si>
  <si>
    <t>A5 notebook</t>
  </si>
  <si>
    <t>Lizbeth Duran</t>
  </si>
  <si>
    <t>Ruler</t>
  </si>
  <si>
    <t>Lucian Erickson</t>
  </si>
  <si>
    <t>Neon highlighters - set of 4</t>
  </si>
  <si>
    <t>Green scissors</t>
  </si>
  <si>
    <t>Pencil Sharpener</t>
  </si>
  <si>
    <t>Glue Tape</t>
  </si>
  <si>
    <t>Tasks:</t>
  </si>
  <si>
    <t>1) Insert 5% into the yellow cells</t>
  </si>
  <si>
    <t>2) Calculate discounts in VBA and insert them into the orange cells
Discount (€) = Original Price (€)*Quantity*Discount (%)</t>
  </si>
  <si>
    <t>3) Calculate the amounts in VBA and insert them into the grey cells
Amount (€) = Original Price (€)*Quantity-Discount (€)</t>
  </si>
  <si>
    <t>Neon highlighter</t>
  </si>
  <si>
    <t>Green pencil</t>
  </si>
  <si>
    <t xml:space="preserve">&lt;- выберите значения от 1 до 10 включительно, </t>
  </si>
  <si>
    <t>чтобы получить отчет по заказу</t>
  </si>
  <si>
    <t>Номер заказа 1</t>
  </si>
  <si>
    <t>Номер заказа 2</t>
  </si>
  <si>
    <t>Номер заказа 3</t>
  </si>
  <si>
    <t>Номер заказа 4</t>
  </si>
  <si>
    <t>Номер заказа 5</t>
  </si>
  <si>
    <t>Номер заказа 6</t>
  </si>
  <si>
    <t>Номер заказа 7</t>
  </si>
  <si>
    <t>Номер заказа 8</t>
  </si>
  <si>
    <t>Номер заказа 9</t>
  </si>
  <si>
    <t>Номер заказа 10</t>
  </si>
  <si>
    <t>Номер заказа 11</t>
  </si>
  <si>
    <t>Номер заказа 12</t>
  </si>
  <si>
    <t>Номер заказа 13</t>
  </si>
  <si>
    <t>Номер заказа 14</t>
  </si>
  <si>
    <t>Номер заказа 15</t>
  </si>
  <si>
    <t>Номер заказа 16</t>
  </si>
  <si>
    <t>Номер заказа 17</t>
  </si>
  <si>
    <t>Номер заказа 18</t>
  </si>
  <si>
    <t>Номер заказа 19</t>
  </si>
  <si>
    <t>Номер заказа 20</t>
  </si>
  <si>
    <t>Номер заказа 21</t>
  </si>
  <si>
    <t>Номер заказа 22</t>
  </si>
  <si>
    <t>Номер заказа 23</t>
  </si>
  <si>
    <t>Номер заказа 24</t>
  </si>
  <si>
    <t>Номер заказа 25</t>
  </si>
  <si>
    <t>Номер заказа 26</t>
  </si>
  <si>
    <t>Номер заказа 27</t>
  </si>
  <si>
    <t>Номер заказа 28</t>
  </si>
  <si>
    <t>Номер заказа 29</t>
  </si>
  <si>
    <t>Номер заказа 30</t>
  </si>
  <si>
    <t>Номер заказа 31</t>
  </si>
  <si>
    <t>Номер заказа 32</t>
  </si>
  <si>
    <t>Номер заказа 33</t>
  </si>
  <si>
    <t>Номер заказа 34</t>
  </si>
  <si>
    <t>Номер заказа 35</t>
  </si>
  <si>
    <t>Номер заказа 36</t>
  </si>
  <si>
    <t>Номер заказа 37</t>
  </si>
  <si>
    <t>Номер заказа 38</t>
  </si>
  <si>
    <t>Номер заказа 39</t>
  </si>
  <si>
    <t>Номер заказа 40</t>
  </si>
  <si>
    <t>Номер заказа 41</t>
  </si>
  <si>
    <t>Номер заказа 42</t>
  </si>
  <si>
    <t>Номер заказа 43</t>
  </si>
  <si>
    <t>Номер заказа 44</t>
  </si>
  <si>
    <t>Номер заказа 45</t>
  </si>
  <si>
    <t>Номер заказа 46</t>
  </si>
  <si>
    <t>Номер заказа 47</t>
  </si>
  <si>
    <t>Номер заказа 48</t>
  </si>
  <si>
    <t>Номер заказа 49</t>
  </si>
  <si>
    <t>Номер заказа 50</t>
  </si>
  <si>
    <t>Номер заказа 51</t>
  </si>
  <si>
    <t>Номер заказа 52</t>
  </si>
  <si>
    <t>Номер заказа 53</t>
  </si>
  <si>
    <t>Номер заказа 54</t>
  </si>
  <si>
    <t>Номер заказа 55</t>
  </si>
  <si>
    <t>Номер заказа 56</t>
  </si>
  <si>
    <t>Номер заказа 57</t>
  </si>
  <si>
    <t>Номер заказа 58</t>
  </si>
  <si>
    <t>Номер заказа 59</t>
  </si>
  <si>
    <t>Номер заказа 60</t>
  </si>
  <si>
    <t>Номер заказа 61</t>
  </si>
  <si>
    <t>Номер заказа 62</t>
  </si>
  <si>
    <t>Номер заказа 63</t>
  </si>
  <si>
    <t>Номер заказа 64</t>
  </si>
  <si>
    <t>Номер заказа 65</t>
  </si>
  <si>
    <t>Номер заказа 66</t>
  </si>
  <si>
    <t>Номер заказа 67</t>
  </si>
  <si>
    <t>Номер заказа 68</t>
  </si>
  <si>
    <t>Номер заказа 69</t>
  </si>
  <si>
    <t>Номер заказа 70</t>
  </si>
  <si>
    <t>Номер заказа 71</t>
  </si>
  <si>
    <t>Номер заказа 72</t>
  </si>
  <si>
    <t>Номер заказа 73</t>
  </si>
  <si>
    <t>Номер заказа 74</t>
  </si>
  <si>
    <t>Номер заказа 75</t>
  </si>
  <si>
    <t>Номер заказа 76</t>
  </si>
  <si>
    <t>Номер заказа 77</t>
  </si>
  <si>
    <t>Номер заказа 78</t>
  </si>
  <si>
    <t>Номер заказа 79</t>
  </si>
  <si>
    <t>Номер заказа 80</t>
  </si>
  <si>
    <t>Номер заказа 81</t>
  </si>
  <si>
    <t>Номер заказа 82</t>
  </si>
  <si>
    <t>Номер заказа 83</t>
  </si>
  <si>
    <t>Номер заказа 84</t>
  </si>
  <si>
    <t>Номер заказа 85</t>
  </si>
  <si>
    <t>Номер заказа 86</t>
  </si>
  <si>
    <t>Номер заказа 87</t>
  </si>
  <si>
    <t>Номер заказа 88</t>
  </si>
  <si>
    <t>Номер заказа 89</t>
  </si>
  <si>
    <t>Номер заказа 90</t>
  </si>
  <si>
    <t>Номер заказа 91</t>
  </si>
  <si>
    <t>Номер заказа 92</t>
  </si>
  <si>
    <t>Номер заказа 93</t>
  </si>
  <si>
    <t>Номер заказа 94</t>
  </si>
  <si>
    <t>Номер заказа 95</t>
  </si>
  <si>
    <t>Номер заказа 96</t>
  </si>
  <si>
    <t>Номер заказа 97</t>
  </si>
  <si>
    <t>Номер заказа 98</t>
  </si>
  <si>
    <t>Номер заказа 99</t>
  </si>
  <si>
    <t>Номер заказа 100</t>
  </si>
  <si>
    <t>Броня</t>
  </si>
  <si>
    <t>Снаряжение</t>
  </si>
  <si>
    <t>Столбец</t>
  </si>
  <si>
    <t>Медиана</t>
  </si>
  <si>
    <t>ПИ</t>
  </si>
  <si>
    <t>прописн</t>
  </si>
  <si>
    <t>SUM</t>
  </si>
  <si>
    <t>AVERAGE</t>
  </si>
  <si>
    <t>COUNT</t>
  </si>
  <si>
    <t>COUNTA</t>
  </si>
  <si>
    <t>COUNTIF</t>
  </si>
  <si>
    <t>MIN</t>
  </si>
  <si>
    <t>MAX</t>
  </si>
  <si>
    <t>COLUMN</t>
  </si>
  <si>
    <t>LOWER</t>
  </si>
  <si>
    <t>UPPER</t>
  </si>
  <si>
    <t>MEDIAN</t>
  </si>
  <si>
    <t>PI</t>
  </si>
  <si>
    <t>POW</t>
  </si>
  <si>
    <t>POWS</t>
  </si>
  <si>
    <t>СУММ</t>
  </si>
  <si>
    <t>СРЗНАЧ</t>
  </si>
  <si>
    <t>СЧЕТЕСЛИ</t>
  </si>
  <si>
    <t>СЧЕТ</t>
  </si>
  <si>
    <t>СЧЕТЗ</t>
  </si>
  <si>
    <t>МИН</t>
  </si>
  <si>
    <t>МАКС</t>
  </si>
  <si>
    <t>строка</t>
  </si>
  <si>
    <t>ЧСТРОК</t>
  </si>
  <si>
    <t>СТРОЧН</t>
  </si>
  <si>
    <t>COS</t>
  </si>
  <si>
    <t>SIN</t>
  </si>
  <si>
    <t>Оплачен</t>
  </si>
  <si>
    <t>Неоплачен</t>
  </si>
  <si>
    <t>id клиента</t>
  </si>
  <si>
    <t>Дата оформления</t>
  </si>
  <si>
    <t>Сумма</t>
  </si>
  <si>
    <t>Статус</t>
  </si>
  <si>
    <t>Средняя выручка</t>
  </si>
  <si>
    <t>CLV</t>
  </si>
  <si>
    <t>Ratetion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</si>
</sst>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8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1">
    <xf numFmtId="0" fontId="0" fillId="0" borderId="0" xfId="0"/>
    <xf numFmtId="0" fontId="3" fillId="2" borderId="0" xfId="0" applyFont="1" applyFill="1"/>
    <xf numFmtId="0" fontId="0" fillId="2" borderId="0" xfId="0" applyFill="1"/>
    <xf numFmtId="0" fontId="2" fillId="2" borderId="1" xfId="0" applyFont="1" applyFill="1" applyBorder="1" applyAlignment="1">
      <alignment horizontal="left" vertical="center" wrapText="1"/>
    </xf>
    <xf numFmtId="0" fontId="0" fillId="2" borderId="2" xfId="0" applyFill="1" applyBorder="1" applyAlignment="1">
      <alignment horizontal="left" vertical="center"/>
    </xf>
    <xf numFmtId="14" fontId="0" fillId="2" borderId="2" xfId="0" applyNumberFormat="1" applyFill="1" applyBorder="1" applyAlignment="1">
      <alignment horizontal="left" vertical="center"/>
    </xf>
    <xf numFmtId="4" fontId="0" fillId="2" borderId="2" xfId="0" applyNumberFormat="1" applyFill="1" applyBorder="1" applyAlignment="1">
      <alignment horizontal="left" vertical="center"/>
    </xf>
    <xf numFmtId="3" fontId="0" fillId="2" borderId="2" xfId="0" applyNumberFormat="1" applyFill="1" applyBorder="1" applyAlignment="1">
      <alignment horizontal="left" vertical="center"/>
    </xf>
    <xf numFmtId="9" fontId="0" fillId="2" borderId="2" xfId="1" applyFont="1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14" fontId="0" fillId="2" borderId="3" xfId="0" applyNumberFormat="1" applyFill="1" applyBorder="1" applyAlignment="1">
      <alignment horizontal="left" vertical="center"/>
    </xf>
    <xf numFmtId="4" fontId="0" fillId="2" borderId="3" xfId="0" applyNumberFormat="1" applyFill="1" applyBorder="1" applyAlignment="1">
      <alignment horizontal="left" vertical="center"/>
    </xf>
    <xf numFmtId="3" fontId="0" fillId="2" borderId="3" xfId="0" applyNumberFormat="1" applyFill="1" applyBorder="1" applyAlignment="1">
      <alignment horizontal="left" vertical="center"/>
    </xf>
    <xf numFmtId="9" fontId="0" fillId="2" borderId="3" xfId="1" applyFont="1" applyFill="1" applyBorder="1" applyAlignment="1">
      <alignment horizontal="left" vertical="center"/>
    </xf>
    <xf numFmtId="4" fontId="0" fillId="3" borderId="3" xfId="0" applyNumberFormat="1" applyFill="1" applyBorder="1" applyAlignment="1">
      <alignment horizontal="left" vertical="center"/>
    </xf>
    <xf numFmtId="9" fontId="0" fillId="4" borderId="3" xfId="1" applyFont="1" applyFill="1" applyBorder="1" applyAlignment="1">
      <alignment horizontal="left" vertical="center"/>
    </xf>
    <xf numFmtId="4" fontId="0" fillId="5" borderId="3" xfId="0" applyNumberFormat="1" applyFill="1" applyBorder="1" applyAlignment="1">
      <alignment horizontal="left" vertical="center"/>
    </xf>
    <xf numFmtId="0" fontId="0" fillId="2" borderId="0" xfId="0" quotePrefix="1" applyFill="1"/>
    <xf numFmtId="0" fontId="0" fillId="2" borderId="4" xfId="0" applyFill="1" applyBorder="1" applyAlignment="1">
      <alignment horizontal="left" vertical="center"/>
    </xf>
    <xf numFmtId="14" fontId="0" fillId="2" borderId="4" xfId="0" applyNumberFormat="1" applyFill="1" applyBorder="1" applyAlignment="1">
      <alignment horizontal="left" vertical="center"/>
    </xf>
    <xf numFmtId="4" fontId="0" fillId="2" borderId="4" xfId="0" applyNumberFormat="1" applyFill="1" applyBorder="1" applyAlignment="1">
      <alignment horizontal="left" vertical="center"/>
    </xf>
    <xf numFmtId="3" fontId="0" fillId="2" borderId="4" xfId="0" applyNumberFormat="1" applyFill="1" applyBorder="1" applyAlignment="1">
      <alignment horizontal="left" vertical="center"/>
    </xf>
    <xf numFmtId="9" fontId="0" fillId="4" borderId="4" xfId="1" applyFont="1" applyFill="1" applyBorder="1" applyAlignment="1">
      <alignment horizontal="left" vertical="center"/>
    </xf>
    <xf numFmtId="4" fontId="0" fillId="5" borderId="4" xfId="0" applyNumberFormat="1" applyFill="1" applyBorder="1" applyAlignment="1">
      <alignment horizontal="left" vertical="center"/>
    </xf>
    <xf numFmtId="0" fontId="4" fillId="2" borderId="0" xfId="0" applyFont="1" applyFill="1"/>
    <xf numFmtId="9" fontId="0" fillId="0" borderId="3" xfId="1" applyFont="1" applyFill="1" applyBorder="1" applyAlignment="1">
      <alignment horizontal="left" vertical="center"/>
    </xf>
    <xf numFmtId="4" fontId="0" fillId="0" borderId="3" xfId="0" applyNumberFormat="1" applyBorder="1" applyAlignment="1">
      <alignment horizontal="left" vertical="center"/>
    </xf>
    <xf numFmtId="9" fontId="0" fillId="0" borderId="4" xfId="1" applyFont="1" applyFill="1" applyBorder="1" applyAlignment="1">
      <alignment horizontal="left" vertical="center"/>
    </xf>
    <xf numFmtId="4" fontId="0" fillId="0" borderId="4" xfId="0" applyNumberFormat="1" applyBorder="1" applyAlignment="1">
      <alignment horizontal="left" vertical="center"/>
    </xf>
    <xf numFmtId="0" fontId="0" fillId="6" borderId="5" xfId="0" applyFill="1" applyBorder="1" applyAlignment="1">
      <alignment horizontal="center"/>
    </xf>
    <xf numFmtId="0" fontId="0" fillId="2" borderId="0" xfId="0" applyFill="1" applyAlignment="1">
      <alignment horizontal="left" vertical="center" wrapText="1"/>
    </xf>
    <xf numFmtId="0" fontId="0" fillId="4" borderId="0" xfId="0" applyFill="1" applyAlignment="1">
      <alignment horizontal="left" vertical="center"/>
    </xf>
    <xf numFmtId="0" fontId="0" fillId="3" borderId="0" xfId="0" applyFill="1" applyAlignment="1">
      <alignment horizontal="left" vertical="center" wrapText="1"/>
    </xf>
    <xf numFmtId="0" fontId="0" fillId="5" borderId="0" xfId="0" applyFill="1" applyAlignment="1">
      <alignment horizontal="left" vertical="center" wrapText="1"/>
    </xf>
    <xf numFmtId="0" fontId="0" fillId="5" borderId="0" xfId="0" applyFill="1" applyAlignment="1">
      <alignment horizontal="left" vertical="center"/>
    </xf>
    <xf numFmtId="14" fontId="0" fillId="0" borderId="0" xfId="0" applyNumberFormat="1"/>
    <xf numFmtId="0" fontId="0" fillId="7" borderId="0" xfId="0" applyFill="1"/>
    <xf numFmtId="0" fontId="0" fillId="8" borderId="0" xfId="0" applyFill="1"/>
    <xf numFmtId="0" fontId="0" fillId="4" borderId="0" xfId="0" applyFill="1"/>
    <xf numFmtId="0" fontId="0" fillId="0" borderId="0" xfId="0" applyFill="1"/>
    <xf numFmtId="14" fontId="0" fillId="0" borderId="0" xfId="0" applyNumberFormat="1" applyFill="1"/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8577232"/>
        <c:axId val="1389775984"/>
      </c:barChart>
      <c:catAx>
        <c:axId val="338577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89775984"/>
        <c:crosses val="autoZero"/>
        <c:auto val="1"/>
        <c:lblAlgn val="ctr"/>
        <c:lblOffset val="100"/>
        <c:noMultiLvlLbl val="0"/>
      </c:catAx>
      <c:valAx>
        <c:axId val="138977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57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  <cx:data id="1">
      <cx:numDim type="val">
        <cx:f>_xlchart.v1.1</cx:f>
      </cx:numDim>
    </cx:data>
  </cx:chartData>
  <cx:chart>
    <cx:title pos="t" align="ctr" overlay="0"/>
    <cx:plotArea>
      <cx:plotAreaRegion>
        <cx:series layoutId="clusteredColumn" uniqueId="{5396321E-7305-4119-A747-5B06E6097BDD}" formatIdx="0">
          <cx:dataId val="0"/>
          <cx:layoutPr>
            <cx:binning intervalClosed="r"/>
          </cx:layoutPr>
          <cx:axisId val="1"/>
        </cx:series>
        <cx:series layoutId="paretoLine" ownerIdx="0" uniqueId="{7517001D-A0E1-4999-B846-7455331A8899}" formatIdx="1">
          <cx:axisId val="2"/>
        </cx:series>
        <cx:series layoutId="clusteredColumn" hidden="1" uniqueId="{22932024-09CD-4006-8541-AB70313A4997}" formatIdx="2">
          <cx:dataId val="1"/>
          <cx:layoutPr>
            <cx:binning intervalClosed="r"/>
          </cx:layoutPr>
          <cx:axisId val="1"/>
        </cx:series>
        <cx:series layoutId="paretoLine" ownerIdx="2" uniqueId="{C6DE6BAA-377F-4D15-8A32-A6AEC4AA8FFF}" formatIdx="3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9C81B08-A057-4CC4-A3A8-43CEE1F1DA66}">
  <sheetPr codeName="Диаграмма3"/>
  <sheetViews>
    <sheetView zoomScale="12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1</xdr:row>
          <xdr:rowOff>28575</xdr:rowOff>
        </xdr:from>
        <xdr:to>
          <xdr:col>6</xdr:col>
          <xdr:colOff>539175</xdr:colOff>
          <xdr:row>3</xdr:row>
          <xdr:rowOff>115575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MACROS 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5</xdr:row>
          <xdr:rowOff>100013</xdr:rowOff>
        </xdr:from>
        <xdr:to>
          <xdr:col>6</xdr:col>
          <xdr:colOff>539175</xdr:colOff>
          <xdr:row>7</xdr:row>
          <xdr:rowOff>187013</xdr:rowOff>
        </xdr:to>
        <xdr:sp macro="" textlink="">
          <xdr:nvSpPr>
            <xdr:cNvPr id="4676" name="Button 580" hidden="1">
              <a:extLst>
                <a:ext uri="{63B3BB69-23CF-44E3-9099-C40C66FF867C}">
                  <a14:compatExt spid="_x0000_s4676"/>
                </a:ext>
                <a:ext uri="{FF2B5EF4-FFF2-40B4-BE49-F238E27FC236}">
                  <a16:creationId xmlns:a16="http://schemas.microsoft.com/office/drawing/2014/main" id="{00000000-0008-0000-0000-00004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9</xdr:row>
          <xdr:rowOff>171451</xdr:rowOff>
        </xdr:from>
        <xdr:to>
          <xdr:col>6</xdr:col>
          <xdr:colOff>539175</xdr:colOff>
          <xdr:row>12</xdr:row>
          <xdr:rowOff>67951</xdr:rowOff>
        </xdr:to>
        <xdr:sp macro="" textlink="">
          <xdr:nvSpPr>
            <xdr:cNvPr id="6958" name="Button 1838" hidden="1">
              <a:extLst>
                <a:ext uri="{63B3BB69-23CF-44E3-9099-C40C66FF867C}">
                  <a14:compatExt spid="_x0000_s6958"/>
                </a:ext>
                <a:ext uri="{FF2B5EF4-FFF2-40B4-BE49-F238E27FC236}">
                  <a16:creationId xmlns:a16="http://schemas.microsoft.com/office/drawing/2014/main" id="{00000000-0008-0000-0000-00002E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Средняя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Выручка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14</xdr:row>
          <xdr:rowOff>52388</xdr:rowOff>
        </xdr:from>
        <xdr:to>
          <xdr:col>6</xdr:col>
          <xdr:colOff>539175</xdr:colOff>
          <xdr:row>16</xdr:row>
          <xdr:rowOff>139388</xdr:rowOff>
        </xdr:to>
        <xdr:sp macro="" textlink="">
          <xdr:nvSpPr>
            <xdr:cNvPr id="7014" name="Button 1894" hidden="1">
              <a:extLst>
                <a:ext uri="{63B3BB69-23CF-44E3-9099-C40C66FF867C}">
                  <a14:compatExt spid="_x0000_s7014"/>
                </a:ext>
                <a:ext uri="{FF2B5EF4-FFF2-40B4-BE49-F238E27FC236}">
                  <a16:creationId xmlns:a16="http://schemas.microsoft.com/office/drawing/2014/main" id="{00000000-0008-0000-0000-000066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Ratetion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18</xdr:row>
          <xdr:rowOff>123825</xdr:rowOff>
        </xdr:from>
        <xdr:to>
          <xdr:col>6</xdr:col>
          <xdr:colOff>539175</xdr:colOff>
          <xdr:row>21</xdr:row>
          <xdr:rowOff>20325</xdr:rowOff>
        </xdr:to>
        <xdr:sp macro="" textlink="">
          <xdr:nvSpPr>
            <xdr:cNvPr id="7272" name="Button 2152" hidden="1">
              <a:extLst>
                <a:ext uri="{63B3BB69-23CF-44E3-9099-C40C66FF867C}">
                  <a14:compatExt spid="_x0000_s7272"/>
                </a:ext>
                <a:ext uri="{FF2B5EF4-FFF2-40B4-BE49-F238E27FC236}">
                  <a16:creationId xmlns:a16="http://schemas.microsoft.com/office/drawing/2014/main" id="{00000000-0008-0000-0000-00006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28575</xdr:rowOff>
        </xdr:from>
        <xdr:to>
          <xdr:col>11</xdr:col>
          <xdr:colOff>1133475</xdr:colOff>
          <xdr:row>8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138112</xdr:rowOff>
    </xdr:from>
    <xdr:to>
      <xdr:col>15</xdr:col>
      <xdr:colOff>304800</xdr:colOff>
      <xdr:row>16</xdr:row>
      <xdr:rowOff>23812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Диаграмма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10225" y="328612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04454-EBCB-49D9-8E20-F512B663A167}">
  <sheetPr codeName="Лист4"/>
  <dimension ref="A1:Q49"/>
  <sheetViews>
    <sheetView tabSelected="1" topLeftCell="C1" workbookViewId="0">
      <selection activeCell="M5" sqref="M5"/>
    </sheetView>
  </sheetViews>
  <sheetFormatPr defaultRowHeight="15" x14ac:dyDescent="0.25"/>
  <cols>
    <col min="3" max="3" width="10.85546875" bestFit="1" customWidth="1"/>
    <col min="4" max="4" width="17.7109375" customWidth="1"/>
    <col min="5" max="5" width="15.42578125" bestFit="1" customWidth="1"/>
    <col min="8" max="8" width="10.5703125" bestFit="1" customWidth="1"/>
    <col min="9" max="9" width="17.7109375" bestFit="1" customWidth="1"/>
    <col min="10" max="10" width="7" bestFit="1" customWidth="1"/>
    <col min="11" max="11" width="11.140625" bestFit="1" customWidth="1"/>
    <col min="12" max="12" width="16.85546875" bestFit="1" customWidth="1"/>
  </cols>
  <sheetData>
    <row r="1" spans="1:17" x14ac:dyDescent="0.25">
      <c r="A1">
        <v>0</v>
      </c>
      <c r="B1">
        <v>30</v>
      </c>
      <c r="C1" t="s">
        <v>151</v>
      </c>
      <c r="D1" t="s">
        <v>137</v>
      </c>
      <c r="E1">
        <f>SUM(A1:A30)</f>
        <v>1346268</v>
      </c>
      <c r="H1" t="s">
        <v>165</v>
      </c>
      <c r="I1" t="s">
        <v>166</v>
      </c>
      <c r="J1" t="s">
        <v>167</v>
      </c>
      <c r="K1" s="39" t="s">
        <v>168</v>
      </c>
    </row>
    <row r="2" spans="1:17" x14ac:dyDescent="0.25">
      <c r="A2">
        <v>1</v>
      </c>
      <c r="C2" t="s">
        <v>152</v>
      </c>
      <c r="D2" t="s">
        <v>138</v>
      </c>
      <c r="E2">
        <f>AVERAGE(A1:A30)</f>
        <v>44875.6</v>
      </c>
      <c r="H2" s="39">
        <v>8</v>
      </c>
      <c r="I2" s="40">
        <v>204.20230000000001</v>
      </c>
      <c r="J2" s="39">
        <v>633</v>
      </c>
      <c r="K2" s="36" t="s">
        <v>163</v>
      </c>
    </row>
    <row r="3" spans="1:17" x14ac:dyDescent="0.25">
      <c r="A3">
        <v>1</v>
      </c>
      <c r="C3" t="s">
        <v>154</v>
      </c>
      <c r="D3" t="s">
        <v>139</v>
      </c>
      <c r="E3">
        <f>COUNT(A1:A30)</f>
        <v>30</v>
      </c>
      <c r="H3" s="38">
        <v>12</v>
      </c>
      <c r="I3" s="40">
        <v>304.20229999999998</v>
      </c>
      <c r="J3" s="39">
        <v>389</v>
      </c>
      <c r="K3" s="36" t="s">
        <v>163</v>
      </c>
      <c r="L3" t="s">
        <v>169</v>
      </c>
      <c r="M3">
        <f>ROUND(SUM(J2:J41)/COUNT(J2:J41), 2)</f>
        <v>624.26</v>
      </c>
      <c r="Q3" t="s">
        <v>170</v>
      </c>
    </row>
    <row r="4" spans="1:17" x14ac:dyDescent="0.25">
      <c r="A4">
        <v>2</v>
      </c>
      <c r="C4" t="s">
        <v>155</v>
      </c>
      <c r="D4" t="s">
        <v>140</v>
      </c>
      <c r="E4">
        <f>COUNTA(A1:A30)</f>
        <v>30</v>
      </c>
      <c r="H4" s="39">
        <v>4</v>
      </c>
      <c r="I4" s="40">
        <v>404.20229999999998</v>
      </c>
      <c r="J4" s="39">
        <v>874</v>
      </c>
      <c r="K4" s="36" t="s">
        <v>163</v>
      </c>
      <c r="N4" s="39">
        <v>8</v>
      </c>
      <c r="O4" s="39">
        <v>8</v>
      </c>
      <c r="P4" s="39"/>
      <c r="Q4" s="39">
        <v>633</v>
      </c>
    </row>
    <row r="5" spans="1:17" x14ac:dyDescent="0.25">
      <c r="A5">
        <v>3</v>
      </c>
      <c r="C5" t="s">
        <v>153</v>
      </c>
      <c r="D5" t="s">
        <v>141</v>
      </c>
      <c r="E5">
        <f>COUNTIF(A1:A30, 21)</f>
        <v>1</v>
      </c>
      <c r="H5" s="39">
        <v>1</v>
      </c>
      <c r="I5" s="40">
        <v>504.20229999999998</v>
      </c>
      <c r="J5" s="39">
        <v>860</v>
      </c>
      <c r="K5" s="36" t="s">
        <v>163</v>
      </c>
      <c r="L5" t="s">
        <v>171</v>
      </c>
      <c r="M5">
        <f>ROUND((COUNT(N4:N14)-COUNTIF(N4:N14, N4&gt;10))/COUNT(O4:O17) * 100, 2)</f>
        <v>78.569999999999993</v>
      </c>
      <c r="N5" s="38">
        <v>12</v>
      </c>
      <c r="O5" s="38">
        <v>12</v>
      </c>
      <c r="P5" s="39"/>
      <c r="Q5" s="39">
        <v>389</v>
      </c>
    </row>
    <row r="6" spans="1:17" x14ac:dyDescent="0.25">
      <c r="A6">
        <v>5</v>
      </c>
      <c r="C6" t="s">
        <v>156</v>
      </c>
      <c r="D6" t="s">
        <v>142</v>
      </c>
      <c r="E6">
        <f>MIN(A1:A30)</f>
        <v>0</v>
      </c>
      <c r="H6" s="39">
        <v>9</v>
      </c>
      <c r="I6" s="40">
        <v>604.20230000000004</v>
      </c>
      <c r="J6" s="39">
        <v>809</v>
      </c>
      <c r="K6" s="36" t="s">
        <v>163</v>
      </c>
      <c r="N6" s="39">
        <v>4</v>
      </c>
      <c r="O6" s="39">
        <v>4</v>
      </c>
      <c r="P6" s="39"/>
      <c r="Q6" s="39">
        <v>2983</v>
      </c>
    </row>
    <row r="7" spans="1:17" x14ac:dyDescent="0.25">
      <c r="A7">
        <v>8</v>
      </c>
      <c r="C7" t="s">
        <v>157</v>
      </c>
      <c r="D7" t="s">
        <v>143</v>
      </c>
      <c r="E7">
        <f>MAX(A1:A30)</f>
        <v>514229</v>
      </c>
      <c r="H7" s="39">
        <v>1</v>
      </c>
      <c r="I7" s="40">
        <v>704.20230000000004</v>
      </c>
      <c r="J7" s="39">
        <v>514</v>
      </c>
      <c r="K7" s="37" t="s">
        <v>164</v>
      </c>
      <c r="N7" s="39">
        <v>1</v>
      </c>
      <c r="O7" s="39">
        <v>1</v>
      </c>
      <c r="P7" s="39"/>
      <c r="Q7" s="39">
        <v>2109</v>
      </c>
    </row>
    <row r="8" spans="1:17" x14ac:dyDescent="0.25">
      <c r="A8">
        <v>13</v>
      </c>
      <c r="C8" t="s">
        <v>133</v>
      </c>
      <c r="D8" t="s">
        <v>144</v>
      </c>
      <c r="E8">
        <f>COLUMN(A1)</f>
        <v>1</v>
      </c>
      <c r="H8" s="38">
        <v>13</v>
      </c>
      <c r="I8" s="40">
        <v>804.20230000000004</v>
      </c>
      <c r="J8" s="39">
        <v>890</v>
      </c>
      <c r="K8" s="36" t="s">
        <v>163</v>
      </c>
      <c r="N8" s="39">
        <v>9</v>
      </c>
      <c r="O8" s="39">
        <v>9</v>
      </c>
      <c r="P8" s="39"/>
      <c r="Q8" s="39">
        <v>1889</v>
      </c>
    </row>
    <row r="9" spans="1:17" x14ac:dyDescent="0.25">
      <c r="A9">
        <v>21</v>
      </c>
      <c r="C9" t="s">
        <v>158</v>
      </c>
      <c r="D9" t="s">
        <v>149</v>
      </c>
      <c r="E9">
        <f>ROW(A15)</f>
        <v>15</v>
      </c>
      <c r="H9" s="39">
        <v>4</v>
      </c>
      <c r="I9" s="40">
        <v>904.20230000000004</v>
      </c>
      <c r="J9" s="39">
        <v>1061</v>
      </c>
      <c r="K9" s="36" t="s">
        <v>163</v>
      </c>
      <c r="N9" s="38">
        <v>13</v>
      </c>
      <c r="O9" s="38">
        <v>13</v>
      </c>
      <c r="P9" s="39"/>
      <c r="Q9" s="39">
        <v>890</v>
      </c>
    </row>
    <row r="10" spans="1:17" x14ac:dyDescent="0.25">
      <c r="A10">
        <v>34</v>
      </c>
      <c r="C10" t="s">
        <v>159</v>
      </c>
      <c r="D10" t="s">
        <v>150</v>
      </c>
      <c r="E10">
        <f>ROWS(A1:A30)</f>
        <v>30</v>
      </c>
      <c r="H10" s="39">
        <v>9</v>
      </c>
      <c r="I10" s="40">
        <v>1004.2023</v>
      </c>
      <c r="J10" s="39">
        <v>156</v>
      </c>
      <c r="K10" s="36" t="s">
        <v>163</v>
      </c>
      <c r="N10" s="39">
        <v>10</v>
      </c>
      <c r="O10" s="39">
        <v>10</v>
      </c>
      <c r="P10" s="39"/>
      <c r="Q10" s="39">
        <v>1326</v>
      </c>
    </row>
    <row r="11" spans="1:17" x14ac:dyDescent="0.25">
      <c r="A11">
        <v>55</v>
      </c>
      <c r="C11" t="s">
        <v>160</v>
      </c>
      <c r="D11" t="s">
        <v>145</v>
      </c>
      <c r="E11">
        <f ca="1">LOWER(E11)</f>
        <v>0</v>
      </c>
      <c r="H11" s="39">
        <v>10</v>
      </c>
      <c r="I11" s="40">
        <v>1104.2022999999999</v>
      </c>
      <c r="J11" s="39">
        <v>464</v>
      </c>
      <c r="K11" s="36" t="s">
        <v>163</v>
      </c>
      <c r="N11" s="39">
        <v>6</v>
      </c>
      <c r="O11" s="39">
        <v>6</v>
      </c>
      <c r="P11" s="39"/>
      <c r="Q11" s="39">
        <v>2153</v>
      </c>
    </row>
    <row r="12" spans="1:17" x14ac:dyDescent="0.25">
      <c r="A12">
        <v>89</v>
      </c>
      <c r="C12" t="s">
        <v>136</v>
      </c>
      <c r="D12" t="s">
        <v>146</v>
      </c>
      <c r="E12" t="str">
        <f>UPPER(C12)</f>
        <v>ПРОПИСН</v>
      </c>
      <c r="H12" s="39">
        <v>6</v>
      </c>
      <c r="I12" s="40">
        <v>1204.2022999999999</v>
      </c>
      <c r="J12" s="39">
        <v>867</v>
      </c>
      <c r="K12" s="36" t="s">
        <v>163</v>
      </c>
      <c r="N12" s="39">
        <v>5</v>
      </c>
      <c r="O12" s="39">
        <v>5</v>
      </c>
      <c r="P12" s="39"/>
      <c r="Q12" s="39">
        <v>910</v>
      </c>
    </row>
    <row r="13" spans="1:17" x14ac:dyDescent="0.25">
      <c r="A13">
        <v>144</v>
      </c>
      <c r="C13" t="s">
        <v>134</v>
      </c>
      <c r="D13" t="s">
        <v>147</v>
      </c>
      <c r="E13">
        <f>MEDIAN(A1:A30)</f>
        <v>493.5</v>
      </c>
      <c r="H13" s="39">
        <v>1</v>
      </c>
      <c r="I13" s="40">
        <v>1304.2022999999999</v>
      </c>
      <c r="J13" s="39">
        <v>692</v>
      </c>
      <c r="K13" s="36" t="s">
        <v>163</v>
      </c>
      <c r="N13" s="39">
        <v>7</v>
      </c>
      <c r="O13" s="39">
        <v>7</v>
      </c>
      <c r="P13" s="39"/>
      <c r="Q13" s="39">
        <v>2976</v>
      </c>
    </row>
    <row r="14" spans="1:17" x14ac:dyDescent="0.25">
      <c r="A14">
        <v>233</v>
      </c>
      <c r="C14" t="s">
        <v>135</v>
      </c>
      <c r="D14" t="s">
        <v>148</v>
      </c>
      <c r="E14">
        <f>PI()</f>
        <v>3.1415926535897931</v>
      </c>
      <c r="H14" s="39">
        <v>5</v>
      </c>
      <c r="I14" s="40">
        <v>1404.2022999999999</v>
      </c>
      <c r="J14" s="39">
        <v>398</v>
      </c>
      <c r="K14" s="36" t="s">
        <v>163</v>
      </c>
      <c r="N14" s="39">
        <v>3</v>
      </c>
      <c r="O14" s="39">
        <v>3</v>
      </c>
      <c r="P14" s="39"/>
      <c r="Q14" s="39">
        <v>2918</v>
      </c>
    </row>
    <row r="15" spans="1:17" x14ac:dyDescent="0.25">
      <c r="A15">
        <v>377</v>
      </c>
      <c r="C15" t="s">
        <v>161</v>
      </c>
      <c r="E15">
        <f>COS(A1)</f>
        <v>1</v>
      </c>
      <c r="H15" s="39">
        <v>7</v>
      </c>
      <c r="I15" s="40">
        <v>1504.2022999999999</v>
      </c>
      <c r="J15" s="39">
        <v>747</v>
      </c>
      <c r="K15" s="36" t="s">
        <v>163</v>
      </c>
      <c r="N15" s="39"/>
      <c r="O15" s="39">
        <v>2</v>
      </c>
      <c r="P15" s="39"/>
      <c r="Q15" s="39">
        <v>3426</v>
      </c>
    </row>
    <row r="16" spans="1:17" x14ac:dyDescent="0.25">
      <c r="A16">
        <v>610</v>
      </c>
      <c r="C16" t="s">
        <v>162</v>
      </c>
      <c r="E16">
        <f>SIN(A1)</f>
        <v>0</v>
      </c>
      <c r="H16" s="39">
        <v>3</v>
      </c>
      <c r="I16" s="40">
        <v>1604.2022999999999</v>
      </c>
      <c r="J16" s="39">
        <v>379</v>
      </c>
      <c r="K16" s="36" t="s">
        <v>163</v>
      </c>
      <c r="N16" s="39"/>
      <c r="O16" s="39">
        <v>8</v>
      </c>
      <c r="P16" s="39"/>
      <c r="Q16" s="39">
        <v>633</v>
      </c>
    </row>
    <row r="17" spans="1:17" x14ac:dyDescent="0.25">
      <c r="A17">
        <v>987</v>
      </c>
      <c r="H17" s="39">
        <v>9</v>
      </c>
      <c r="I17" s="40">
        <v>1704.2022999999999</v>
      </c>
      <c r="J17" s="39">
        <v>924</v>
      </c>
      <c r="K17" s="36" t="s">
        <v>163</v>
      </c>
      <c r="N17" s="39"/>
      <c r="O17" s="38">
        <v>11</v>
      </c>
      <c r="P17" s="39"/>
      <c r="Q17" s="39">
        <v>478</v>
      </c>
    </row>
    <row r="18" spans="1:17" x14ac:dyDescent="0.25">
      <c r="A18">
        <v>1597</v>
      </c>
      <c r="H18" s="39">
        <v>6</v>
      </c>
      <c r="I18" s="40">
        <v>1804.2022999999999</v>
      </c>
      <c r="J18" s="39">
        <v>1086</v>
      </c>
      <c r="K18" s="36" t="s">
        <v>163</v>
      </c>
      <c r="N18" s="39"/>
      <c r="O18" s="39"/>
    </row>
    <row r="19" spans="1:17" x14ac:dyDescent="0.25">
      <c r="A19">
        <v>2584</v>
      </c>
      <c r="H19" s="39">
        <v>10</v>
      </c>
      <c r="I19" s="40">
        <v>1904.2022999999999</v>
      </c>
      <c r="J19" s="39">
        <v>326</v>
      </c>
      <c r="K19" s="37" t="s">
        <v>164</v>
      </c>
    </row>
    <row r="20" spans="1:17" x14ac:dyDescent="0.25">
      <c r="A20">
        <v>4181</v>
      </c>
      <c r="H20" s="39">
        <v>7</v>
      </c>
      <c r="I20" s="40">
        <v>2004.2022999999999</v>
      </c>
      <c r="J20" s="39">
        <v>1080</v>
      </c>
      <c r="K20" s="36" t="s">
        <v>163</v>
      </c>
      <c r="N20" s="39"/>
    </row>
    <row r="21" spans="1:17" x14ac:dyDescent="0.25">
      <c r="A21">
        <v>6765</v>
      </c>
      <c r="H21" s="39">
        <v>3</v>
      </c>
      <c r="I21" s="40">
        <v>2104.2022999999999</v>
      </c>
      <c r="J21" s="39">
        <v>633</v>
      </c>
      <c r="K21" s="36" t="s">
        <v>163</v>
      </c>
      <c r="N21" s="39"/>
    </row>
    <row r="22" spans="1:17" x14ac:dyDescent="0.25">
      <c r="A22">
        <v>10946</v>
      </c>
      <c r="H22" s="39">
        <v>2</v>
      </c>
      <c r="I22" s="40">
        <v>2204.2022999999999</v>
      </c>
      <c r="J22" s="39">
        <v>1099</v>
      </c>
      <c r="K22" s="36" t="s">
        <v>163</v>
      </c>
      <c r="N22" s="39"/>
    </row>
    <row r="23" spans="1:17" x14ac:dyDescent="0.25">
      <c r="A23">
        <v>17711</v>
      </c>
      <c r="H23" s="39">
        <v>7</v>
      </c>
      <c r="I23" s="40">
        <v>2304.2022999999999</v>
      </c>
      <c r="J23" s="39">
        <v>115</v>
      </c>
      <c r="K23" s="36" t="s">
        <v>163</v>
      </c>
      <c r="N23" s="39"/>
    </row>
    <row r="24" spans="1:17" x14ac:dyDescent="0.25">
      <c r="A24">
        <v>28657</v>
      </c>
      <c r="H24" s="39">
        <v>6</v>
      </c>
      <c r="I24" s="40">
        <v>2404.2022999999999</v>
      </c>
      <c r="J24" s="39">
        <v>200</v>
      </c>
      <c r="K24" s="36" t="s">
        <v>163</v>
      </c>
      <c r="N24" s="39"/>
    </row>
    <row r="25" spans="1:17" x14ac:dyDescent="0.25">
      <c r="A25">
        <v>46368</v>
      </c>
      <c r="H25" s="39">
        <v>2</v>
      </c>
      <c r="I25" s="40">
        <v>2504.2022999999999</v>
      </c>
      <c r="J25" s="39">
        <v>898</v>
      </c>
      <c r="K25" s="36" t="s">
        <v>163</v>
      </c>
      <c r="N25" s="39"/>
    </row>
    <row r="26" spans="1:17" x14ac:dyDescent="0.25">
      <c r="A26">
        <v>75025</v>
      </c>
      <c r="H26" s="39">
        <v>3</v>
      </c>
      <c r="I26" s="40">
        <v>2604.2022999999999</v>
      </c>
      <c r="J26" s="39">
        <v>145</v>
      </c>
      <c r="K26" s="36" t="s">
        <v>163</v>
      </c>
      <c r="N26" s="39"/>
    </row>
    <row r="27" spans="1:17" x14ac:dyDescent="0.25">
      <c r="A27">
        <v>121393</v>
      </c>
      <c r="H27" s="39">
        <v>3</v>
      </c>
      <c r="I27" s="40">
        <v>2704.2022999999999</v>
      </c>
      <c r="J27" s="39">
        <v>482</v>
      </c>
      <c r="K27" s="36" t="s">
        <v>163</v>
      </c>
      <c r="N27" s="39"/>
    </row>
    <row r="28" spans="1:17" x14ac:dyDescent="0.25">
      <c r="A28">
        <v>196418</v>
      </c>
      <c r="H28" s="39">
        <v>4</v>
      </c>
      <c r="I28" s="40">
        <v>2804.2022999999999</v>
      </c>
      <c r="J28" s="39">
        <v>1048</v>
      </c>
      <c r="K28" s="36" t="s">
        <v>163</v>
      </c>
      <c r="N28" s="39"/>
    </row>
    <row r="29" spans="1:17" x14ac:dyDescent="0.25">
      <c r="A29">
        <v>317811</v>
      </c>
      <c r="H29" s="39">
        <v>10</v>
      </c>
      <c r="I29" s="40">
        <v>2904.2022999999999</v>
      </c>
      <c r="J29" s="39">
        <v>501</v>
      </c>
      <c r="K29" s="36" t="s">
        <v>163</v>
      </c>
      <c r="N29" s="39"/>
    </row>
    <row r="30" spans="1:17" x14ac:dyDescent="0.25">
      <c r="A30">
        <v>514229</v>
      </c>
      <c r="H30" s="39">
        <v>3</v>
      </c>
      <c r="I30" s="40">
        <v>3004.2022999999999</v>
      </c>
      <c r="J30" s="39">
        <v>260</v>
      </c>
      <c r="K30" s="36" t="s">
        <v>163</v>
      </c>
      <c r="N30" s="39"/>
    </row>
    <row r="31" spans="1:17" x14ac:dyDescent="0.25">
      <c r="H31" s="39">
        <v>2</v>
      </c>
      <c r="I31" s="40">
        <v>3104.2022999999999</v>
      </c>
      <c r="J31" s="39">
        <v>746</v>
      </c>
      <c r="K31" s="36" t="s">
        <v>163</v>
      </c>
      <c r="N31" s="39"/>
    </row>
    <row r="32" spans="1:17" x14ac:dyDescent="0.25">
      <c r="H32" s="39">
        <v>5</v>
      </c>
      <c r="I32" s="40">
        <v>3204.2022999999999</v>
      </c>
      <c r="J32" s="39">
        <v>512</v>
      </c>
      <c r="K32" s="36" t="s">
        <v>163</v>
      </c>
      <c r="N32" s="39"/>
    </row>
    <row r="33" spans="8:14" x14ac:dyDescent="0.25">
      <c r="H33" s="39">
        <v>8</v>
      </c>
      <c r="I33" s="40">
        <v>3304.2022999999999</v>
      </c>
      <c r="J33" s="39">
        <v>426</v>
      </c>
      <c r="K33" s="37" t="s">
        <v>164</v>
      </c>
      <c r="N33" s="39"/>
    </row>
    <row r="34" spans="8:14" x14ac:dyDescent="0.25">
      <c r="H34" s="39">
        <v>7</v>
      </c>
      <c r="I34" s="40">
        <v>3404.2022999999999</v>
      </c>
      <c r="J34" s="39">
        <v>307</v>
      </c>
      <c r="K34" s="36" t="s">
        <v>163</v>
      </c>
    </row>
    <row r="35" spans="8:14" x14ac:dyDescent="0.25">
      <c r="H35" s="39">
        <v>2</v>
      </c>
      <c r="I35" s="40">
        <v>3504.2022999999999</v>
      </c>
      <c r="J35" s="39">
        <v>683</v>
      </c>
      <c r="K35" s="36" t="s">
        <v>163</v>
      </c>
    </row>
    <row r="36" spans="8:14" x14ac:dyDescent="0.25">
      <c r="H36" s="39">
        <v>1</v>
      </c>
      <c r="I36" s="40">
        <v>3604.2022999999999</v>
      </c>
      <c r="J36" s="39">
        <v>557</v>
      </c>
      <c r="K36" s="36" t="s">
        <v>163</v>
      </c>
    </row>
    <row r="37" spans="8:14" x14ac:dyDescent="0.25">
      <c r="H37" s="39">
        <v>10</v>
      </c>
      <c r="I37" s="40">
        <v>3704.2022999999999</v>
      </c>
      <c r="J37" s="39">
        <v>361</v>
      </c>
      <c r="K37" s="36" t="s">
        <v>163</v>
      </c>
    </row>
    <row r="38" spans="8:14" x14ac:dyDescent="0.25">
      <c r="H38" s="38">
        <v>11</v>
      </c>
      <c r="I38" s="40">
        <v>3804.2022999999999</v>
      </c>
      <c r="J38" s="39">
        <v>478</v>
      </c>
      <c r="K38" s="36" t="s">
        <v>163</v>
      </c>
    </row>
    <row r="39" spans="8:14" x14ac:dyDescent="0.25">
      <c r="H39" s="39">
        <v>3</v>
      </c>
      <c r="I39" s="40">
        <v>3904.2022999999999</v>
      </c>
      <c r="J39" s="39">
        <v>1019</v>
      </c>
      <c r="K39" s="36" t="s">
        <v>163</v>
      </c>
    </row>
    <row r="40" spans="8:14" x14ac:dyDescent="0.25">
      <c r="H40" s="39">
        <v>7</v>
      </c>
      <c r="I40" s="40">
        <v>4004.2022999999999</v>
      </c>
      <c r="J40" s="39">
        <v>727</v>
      </c>
      <c r="K40" s="36" t="s">
        <v>163</v>
      </c>
    </row>
    <row r="41" spans="8:14" x14ac:dyDescent="0.25">
      <c r="H41" s="39"/>
      <c r="I41" s="40"/>
      <c r="J41" s="39"/>
      <c r="K41" s="39"/>
    </row>
    <row r="42" spans="8:14" x14ac:dyDescent="0.25">
      <c r="I42" s="35"/>
    </row>
    <row r="43" spans="8:14" x14ac:dyDescent="0.25">
      <c r="I43" s="35"/>
    </row>
    <row r="44" spans="8:14" x14ac:dyDescent="0.25">
      <c r="I44" s="35"/>
    </row>
    <row r="45" spans="8:14" x14ac:dyDescent="0.25">
      <c r="I45" s="35"/>
    </row>
    <row r="46" spans="8:14" x14ac:dyDescent="0.25">
      <c r="I46" s="35"/>
    </row>
    <row r="47" spans="8:14" x14ac:dyDescent="0.25">
      <c r="I47" s="35"/>
    </row>
    <row r="48" spans="8:14" x14ac:dyDescent="0.25">
      <c r="I48" s="35"/>
    </row>
    <row r="49" spans="9:9" x14ac:dyDescent="0.25">
      <c r="I49" s="3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46" r:id="rId3" name="Button 50">
              <controlPr defaultSize="0" print="0" autoFill="0" autoPict="0" macro="[0]!Fibb.Fibb">
                <anchor moveWithCells="1" sizeWithCells="1">
                  <from>
                    <xdr:col>5</xdr:col>
                    <xdr:colOff>104775</xdr:colOff>
                    <xdr:row>1</xdr:row>
                    <xdr:rowOff>28575</xdr:rowOff>
                  </from>
                  <to>
                    <xdr:col>6</xdr:col>
                    <xdr:colOff>542925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6" r:id="rId4" name="Button 580">
              <controlPr defaultSize="0" print="0" autoFill="0" autoPict="0" macro="[0]!SetData.SetData">
                <anchor moveWithCells="1" sizeWithCells="1">
                  <from>
                    <xdr:col>5</xdr:col>
                    <xdr:colOff>104775</xdr:colOff>
                    <xdr:row>5</xdr:row>
                    <xdr:rowOff>104775</xdr:rowOff>
                  </from>
                  <to>
                    <xdr:col>6</xdr:col>
                    <xdr:colOff>542925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58" r:id="rId5" name="Button 1838">
              <controlPr defaultSize="0" print="0" autoFill="0" autoPict="0" macro="[0]!СР_выручка">
                <anchor moveWithCells="1" sizeWithCells="1">
                  <from>
                    <xdr:col>5</xdr:col>
                    <xdr:colOff>104775</xdr:colOff>
                    <xdr:row>9</xdr:row>
                    <xdr:rowOff>171450</xdr:rowOff>
                  </from>
                  <to>
                    <xdr:col>6</xdr:col>
                    <xdr:colOff>542925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14" r:id="rId6" name="Button 1894">
              <controlPr defaultSize="0" print="0" autoFill="0" autoPict="0" macro="[0]!Ratetion">
                <anchor moveWithCells="1" sizeWithCells="1">
                  <from>
                    <xdr:col>5</xdr:col>
                    <xdr:colOff>104775</xdr:colOff>
                    <xdr:row>14</xdr:row>
                    <xdr:rowOff>57150</xdr:rowOff>
                  </from>
                  <to>
                    <xdr:col>6</xdr:col>
                    <xdr:colOff>542925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" r:id="rId7" name="Button 2152">
              <controlPr defaultSize="0" print="0" autoFill="0" autoPict="0" macro="[0]!CLV">
                <anchor moveWithCells="1" sizeWithCells="1">
                  <from>
                    <xdr:col>5</xdr:col>
                    <xdr:colOff>104775</xdr:colOff>
                    <xdr:row>18</xdr:row>
                    <xdr:rowOff>123825</xdr:rowOff>
                  </from>
                  <to>
                    <xdr:col>6</xdr:col>
                    <xdr:colOff>542925</xdr:colOff>
                    <xdr:row>21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745A1-F436-4574-B10C-18AA32A4C578}">
  <sheetPr codeName="Лист1"/>
  <dimension ref="B1:Q20"/>
  <sheetViews>
    <sheetView showGridLines="0" workbookViewId="0">
      <selection activeCell="H18" sqref="H18"/>
    </sheetView>
  </sheetViews>
  <sheetFormatPr defaultRowHeight="15" x14ac:dyDescent="0.25"/>
  <cols>
    <col min="1" max="1" width="9.140625" style="2"/>
    <col min="2" max="2" width="4.140625" style="2" bestFit="1" customWidth="1"/>
    <col min="3" max="3" width="13.7109375" style="2" customWidth="1"/>
    <col min="4" max="4" width="15.42578125" style="2" customWidth="1"/>
    <col min="5" max="5" width="25.28515625" style="2" bestFit="1" customWidth="1"/>
    <col min="6" max="6" width="16.140625" style="2" customWidth="1"/>
    <col min="7" max="7" width="15.42578125" style="2" customWidth="1"/>
    <col min="8" max="10" width="13" style="2" customWidth="1"/>
    <col min="11" max="16384" width="9.140625" style="2"/>
  </cols>
  <sheetData>
    <row r="1" spans="2:17" ht="23.25" x14ac:dyDescent="0.35">
      <c r="B1" s="1" t="s">
        <v>0</v>
      </c>
    </row>
    <row r="3" spans="2:17" x14ac:dyDescent="0.25"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</row>
    <row r="4" spans="2:17" x14ac:dyDescent="0.25">
      <c r="B4" s="4">
        <v>1</v>
      </c>
      <c r="C4" s="5">
        <v>43956</v>
      </c>
      <c r="D4" s="4" t="s">
        <v>10</v>
      </c>
      <c r="E4" s="4" t="s">
        <v>11</v>
      </c>
      <c r="F4" s="6">
        <v>0.65</v>
      </c>
      <c r="G4" s="7">
        <v>100</v>
      </c>
      <c r="H4" s="8">
        <v>0</v>
      </c>
      <c r="I4" s="6">
        <v>0</v>
      </c>
      <c r="J4" s="6">
        <v>65</v>
      </c>
    </row>
    <row r="5" spans="2:17" x14ac:dyDescent="0.25">
      <c r="B5" s="9">
        <v>2</v>
      </c>
      <c r="C5" s="10">
        <v>43959</v>
      </c>
      <c r="D5" s="9" t="s">
        <v>12</v>
      </c>
      <c r="E5" s="9" t="s">
        <v>13</v>
      </c>
      <c r="F5" s="11">
        <v>0.5</v>
      </c>
      <c r="G5" s="12">
        <v>150</v>
      </c>
      <c r="H5" s="13">
        <v>0</v>
      </c>
      <c r="I5" s="11">
        <v>0</v>
      </c>
      <c r="J5" s="11">
        <v>75</v>
      </c>
    </row>
    <row r="6" spans="2:17" x14ac:dyDescent="0.25">
      <c r="B6" s="9">
        <v>3</v>
      </c>
      <c r="C6" s="10">
        <v>43962</v>
      </c>
      <c r="D6" s="9" t="s">
        <v>14</v>
      </c>
      <c r="E6" s="9" t="s">
        <v>15</v>
      </c>
      <c r="F6" s="11">
        <v>6</v>
      </c>
      <c r="G6" s="12">
        <v>200</v>
      </c>
      <c r="H6" s="13">
        <v>0.15</v>
      </c>
      <c r="I6" s="14">
        <v>180</v>
      </c>
      <c r="J6" s="11">
        <v>1020</v>
      </c>
    </row>
    <row r="7" spans="2:17" x14ac:dyDescent="0.25">
      <c r="B7" s="9">
        <v>4</v>
      </c>
      <c r="C7" s="10">
        <v>43965</v>
      </c>
      <c r="D7" s="9" t="s">
        <v>16</v>
      </c>
      <c r="E7" s="9" t="s">
        <v>17</v>
      </c>
      <c r="F7" s="11">
        <v>1</v>
      </c>
      <c r="G7" s="12">
        <v>200</v>
      </c>
      <c r="H7" s="15">
        <v>0.05</v>
      </c>
      <c r="I7" s="14">
        <v>10</v>
      </c>
      <c r="J7" s="16">
        <v>190</v>
      </c>
      <c r="Q7" s="17"/>
    </row>
    <row r="8" spans="2:17" x14ac:dyDescent="0.25">
      <c r="B8" s="9">
        <v>5</v>
      </c>
      <c r="C8" s="10">
        <v>43966</v>
      </c>
      <c r="D8" s="9" t="s">
        <v>18</v>
      </c>
      <c r="E8" s="9" t="s">
        <v>19</v>
      </c>
      <c r="F8" s="11">
        <v>5</v>
      </c>
      <c r="G8" s="12">
        <v>100</v>
      </c>
      <c r="H8" s="13">
        <v>0.1</v>
      </c>
      <c r="I8" s="14">
        <v>50</v>
      </c>
      <c r="J8" s="11">
        <v>450</v>
      </c>
      <c r="Q8" s="17"/>
    </row>
    <row r="9" spans="2:17" x14ac:dyDescent="0.25">
      <c r="B9" s="9">
        <v>6</v>
      </c>
      <c r="C9" s="10">
        <v>43969</v>
      </c>
      <c r="D9" s="9" t="s">
        <v>12</v>
      </c>
      <c r="E9" s="9" t="s">
        <v>20</v>
      </c>
      <c r="F9" s="11">
        <v>2.5</v>
      </c>
      <c r="G9" s="12">
        <v>100</v>
      </c>
      <c r="H9" s="15">
        <v>0.05</v>
      </c>
      <c r="I9" s="11">
        <v>12.5</v>
      </c>
      <c r="J9" s="16">
        <v>237.5</v>
      </c>
    </row>
    <row r="10" spans="2:17" x14ac:dyDescent="0.25">
      <c r="B10" s="9">
        <v>7</v>
      </c>
      <c r="C10" s="10">
        <v>43970</v>
      </c>
      <c r="D10" s="9" t="s">
        <v>16</v>
      </c>
      <c r="E10" s="9" t="s">
        <v>13</v>
      </c>
      <c r="F10" s="11">
        <v>0.5</v>
      </c>
      <c r="G10" s="12">
        <v>200</v>
      </c>
      <c r="H10" s="13">
        <v>0</v>
      </c>
      <c r="I10" s="14">
        <v>0</v>
      </c>
      <c r="J10" s="11">
        <v>100</v>
      </c>
    </row>
    <row r="11" spans="2:17" x14ac:dyDescent="0.25">
      <c r="B11" s="9">
        <v>8</v>
      </c>
      <c r="C11" s="10">
        <v>43974</v>
      </c>
      <c r="D11" s="9" t="s">
        <v>12</v>
      </c>
      <c r="E11" s="9" t="s">
        <v>21</v>
      </c>
      <c r="F11" s="11">
        <v>1.5</v>
      </c>
      <c r="G11" s="12">
        <v>200</v>
      </c>
      <c r="H11" s="15">
        <v>0.05</v>
      </c>
      <c r="I11" s="11">
        <v>15.000000000000002</v>
      </c>
      <c r="J11" s="16">
        <v>285</v>
      </c>
    </row>
    <row r="12" spans="2:17" x14ac:dyDescent="0.25">
      <c r="B12" s="9">
        <v>9</v>
      </c>
      <c r="C12" s="10">
        <v>43975</v>
      </c>
      <c r="D12" s="9" t="s">
        <v>10</v>
      </c>
      <c r="E12" s="9" t="s">
        <v>19</v>
      </c>
      <c r="F12" s="11">
        <v>5</v>
      </c>
      <c r="G12" s="12">
        <v>200</v>
      </c>
      <c r="H12" s="13">
        <v>0.15</v>
      </c>
      <c r="I12" s="11">
        <v>150</v>
      </c>
      <c r="J12" s="11">
        <v>850</v>
      </c>
    </row>
    <row r="13" spans="2:17" x14ac:dyDescent="0.25">
      <c r="B13" s="18">
        <v>10</v>
      </c>
      <c r="C13" s="19">
        <v>43979</v>
      </c>
      <c r="D13" s="18" t="s">
        <v>12</v>
      </c>
      <c r="E13" s="18" t="s">
        <v>22</v>
      </c>
      <c r="F13" s="20">
        <v>5</v>
      </c>
      <c r="G13" s="21">
        <v>50</v>
      </c>
      <c r="H13" s="22">
        <v>0.05</v>
      </c>
      <c r="I13" s="20">
        <v>12.5</v>
      </c>
      <c r="J13" s="23">
        <v>237.5</v>
      </c>
    </row>
    <row r="17" spans="3:6" ht="30" customHeight="1" x14ac:dyDescent="0.3">
      <c r="C17" s="24" t="s">
        <v>23</v>
      </c>
    </row>
    <row r="18" spans="3:6" ht="30" customHeight="1" x14ac:dyDescent="0.25">
      <c r="C18" s="31" t="s">
        <v>24</v>
      </c>
      <c r="D18" s="31"/>
      <c r="E18" s="31"/>
      <c r="F18" s="31"/>
    </row>
    <row r="19" spans="3:6" ht="30" customHeight="1" x14ac:dyDescent="0.25">
      <c r="C19" s="32" t="s">
        <v>25</v>
      </c>
      <c r="D19" s="32"/>
      <c r="E19" s="32"/>
      <c r="F19" s="32"/>
    </row>
    <row r="20" spans="3:6" ht="30" customHeight="1" x14ac:dyDescent="0.25">
      <c r="C20" s="33" t="s">
        <v>26</v>
      </c>
      <c r="D20" s="34"/>
      <c r="E20" s="34"/>
      <c r="F20" s="34"/>
    </row>
  </sheetData>
  <mergeCells count="3">
    <mergeCell ref="C18:F18"/>
    <mergeCell ref="C19:F19"/>
    <mergeCell ref="C20:F2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834E0-0BA9-4B10-ACBD-305A2924E5D2}">
  <sheetPr codeName="Лист2"/>
  <dimension ref="B3:M15"/>
  <sheetViews>
    <sheetView workbookViewId="0">
      <selection activeCell="L5" sqref="L5"/>
    </sheetView>
  </sheetViews>
  <sheetFormatPr defaultRowHeight="15" x14ac:dyDescent="0.25"/>
  <cols>
    <col min="2" max="2" width="10.5703125" customWidth="1"/>
    <col min="3" max="3" width="10.140625" bestFit="1" customWidth="1"/>
    <col min="4" max="4" width="14.42578125" bestFit="1" customWidth="1"/>
    <col min="5" max="5" width="17.5703125" bestFit="1" customWidth="1"/>
    <col min="6" max="6" width="15.85546875" bestFit="1" customWidth="1"/>
    <col min="7" max="7" width="8.7109375" bestFit="1" customWidth="1"/>
    <col min="8" max="8" width="12.140625" bestFit="1" customWidth="1"/>
    <col min="9" max="9" width="11.5703125" bestFit="1" customWidth="1"/>
    <col min="10" max="10" width="11" bestFit="1" customWidth="1"/>
    <col min="12" max="12" width="17.140625" customWidth="1"/>
    <col min="13" max="13" width="45.42578125" bestFit="1" customWidth="1"/>
  </cols>
  <sheetData>
    <row r="3" spans="2:13" ht="23.25" x14ac:dyDescent="0.35">
      <c r="B3" s="1" t="s">
        <v>0</v>
      </c>
      <c r="C3" s="2"/>
      <c r="D3" s="2"/>
      <c r="E3" s="2"/>
      <c r="F3" s="2"/>
      <c r="G3" s="2"/>
      <c r="H3" s="2"/>
      <c r="I3" s="2"/>
      <c r="J3" s="2"/>
    </row>
    <row r="4" spans="2:13" ht="15.75" thickBot="1" x14ac:dyDescent="0.3">
      <c r="B4" s="2"/>
      <c r="C4" s="2"/>
      <c r="D4" s="2"/>
      <c r="E4" s="2"/>
      <c r="F4" s="2"/>
      <c r="G4" s="2"/>
      <c r="H4" s="2"/>
      <c r="I4" s="2"/>
      <c r="J4" s="2"/>
    </row>
    <row r="5" spans="2:13" ht="18" customHeight="1" thickBot="1" x14ac:dyDescent="0.3">
      <c r="B5" s="3" t="s">
        <v>1</v>
      </c>
      <c r="C5" s="3" t="s">
        <v>2</v>
      </c>
      <c r="D5" s="3" t="s">
        <v>3</v>
      </c>
      <c r="E5" s="3" t="s">
        <v>4</v>
      </c>
      <c r="F5" s="3" t="s">
        <v>5</v>
      </c>
      <c r="G5" s="3" t="s">
        <v>6</v>
      </c>
      <c r="H5" s="3" t="s">
        <v>7</v>
      </c>
      <c r="I5" s="3" t="s">
        <v>8</v>
      </c>
      <c r="J5" s="3" t="s">
        <v>9</v>
      </c>
      <c r="L5" s="29">
        <v>5</v>
      </c>
      <c r="M5" s="30" t="s">
        <v>29</v>
      </c>
    </row>
    <row r="6" spans="2:13" x14ac:dyDescent="0.25">
      <c r="B6" s="4">
        <v>1</v>
      </c>
      <c r="C6" s="5">
        <v>43956</v>
      </c>
      <c r="D6" s="4" t="s">
        <v>10</v>
      </c>
      <c r="E6" s="4" t="s">
        <v>11</v>
      </c>
      <c r="F6" s="6">
        <v>0.65</v>
      </c>
      <c r="G6" s="7">
        <v>100</v>
      </c>
      <c r="H6" s="8">
        <v>0</v>
      </c>
      <c r="I6" s="6">
        <v>0</v>
      </c>
      <c r="J6" s="6">
        <v>65</v>
      </c>
      <c r="M6" t="s">
        <v>30</v>
      </c>
    </row>
    <row r="7" spans="2:13" x14ac:dyDescent="0.25">
      <c r="B7" s="9">
        <v>2</v>
      </c>
      <c r="C7" s="10">
        <v>43959</v>
      </c>
      <c r="D7" s="9" t="s">
        <v>12</v>
      </c>
      <c r="E7" s="9" t="s">
        <v>13</v>
      </c>
      <c r="F7" s="11">
        <v>0.5</v>
      </c>
      <c r="G7" s="12">
        <v>150</v>
      </c>
      <c r="H7" s="25">
        <v>0</v>
      </c>
      <c r="I7" s="11">
        <v>0</v>
      </c>
      <c r="J7" s="11">
        <v>75</v>
      </c>
    </row>
    <row r="8" spans="2:13" x14ac:dyDescent="0.25">
      <c r="B8" s="9">
        <v>3</v>
      </c>
      <c r="C8" s="10">
        <v>43962</v>
      </c>
      <c r="D8" s="9" t="s">
        <v>14</v>
      </c>
      <c r="E8" s="9" t="s">
        <v>15</v>
      </c>
      <c r="F8" s="11">
        <v>6</v>
      </c>
      <c r="G8" s="12">
        <v>200</v>
      </c>
      <c r="H8" s="25">
        <v>0.15</v>
      </c>
      <c r="I8" s="26">
        <v>180</v>
      </c>
      <c r="J8" s="26">
        <v>1020</v>
      </c>
    </row>
    <row r="9" spans="2:13" x14ac:dyDescent="0.25">
      <c r="B9" s="9">
        <v>4</v>
      </c>
      <c r="C9" s="10">
        <v>43965</v>
      </c>
      <c r="D9" s="9" t="s">
        <v>16</v>
      </c>
      <c r="E9" s="9" t="s">
        <v>17</v>
      </c>
      <c r="F9" s="11">
        <v>1</v>
      </c>
      <c r="G9" s="12">
        <v>200</v>
      </c>
      <c r="H9" s="25">
        <v>0.05</v>
      </c>
      <c r="I9" s="26">
        <v>10</v>
      </c>
      <c r="J9" s="26">
        <v>190</v>
      </c>
    </row>
    <row r="10" spans="2:13" x14ac:dyDescent="0.25">
      <c r="B10" s="9">
        <v>5</v>
      </c>
      <c r="C10" s="10">
        <v>43966</v>
      </c>
      <c r="D10" s="9" t="s">
        <v>18</v>
      </c>
      <c r="E10" s="9" t="s">
        <v>27</v>
      </c>
      <c r="F10" s="11">
        <v>5</v>
      </c>
      <c r="G10" s="12">
        <v>100</v>
      </c>
      <c r="H10" s="25">
        <v>0.1</v>
      </c>
      <c r="I10" s="26">
        <v>50</v>
      </c>
      <c r="J10" s="26">
        <v>450</v>
      </c>
    </row>
    <row r="11" spans="2:13" x14ac:dyDescent="0.25">
      <c r="B11" s="9">
        <v>6</v>
      </c>
      <c r="C11" s="10">
        <v>43969</v>
      </c>
      <c r="D11" s="9" t="s">
        <v>12</v>
      </c>
      <c r="E11" s="9" t="s">
        <v>28</v>
      </c>
      <c r="F11" s="11">
        <v>2.5</v>
      </c>
      <c r="G11" s="12">
        <v>100</v>
      </c>
      <c r="H11" s="25">
        <v>0.05</v>
      </c>
      <c r="I11" s="26">
        <v>12.5</v>
      </c>
      <c r="J11" s="26">
        <v>237.5</v>
      </c>
    </row>
    <row r="12" spans="2:13" x14ac:dyDescent="0.25">
      <c r="B12" s="9">
        <v>7</v>
      </c>
      <c r="C12" s="10">
        <v>43970</v>
      </c>
      <c r="D12" s="9" t="s">
        <v>16</v>
      </c>
      <c r="E12" s="9" t="s">
        <v>13</v>
      </c>
      <c r="F12" s="11">
        <v>0.5</v>
      </c>
      <c r="G12" s="12">
        <v>200</v>
      </c>
      <c r="H12" s="25">
        <v>0</v>
      </c>
      <c r="I12" s="26">
        <v>0</v>
      </c>
      <c r="J12" s="26">
        <v>100</v>
      </c>
    </row>
    <row r="13" spans="2:13" x14ac:dyDescent="0.25">
      <c r="B13" s="9">
        <v>8</v>
      </c>
      <c r="C13" s="10">
        <v>43974</v>
      </c>
      <c r="D13" s="9" t="s">
        <v>12</v>
      </c>
      <c r="E13" s="9" t="s">
        <v>21</v>
      </c>
      <c r="F13" s="11">
        <v>1.5</v>
      </c>
      <c r="G13" s="12">
        <v>200</v>
      </c>
      <c r="H13" s="25">
        <v>0.05</v>
      </c>
      <c r="I13" s="26">
        <v>15.000000000000002</v>
      </c>
      <c r="J13" s="26">
        <v>285</v>
      </c>
    </row>
    <row r="14" spans="2:13" x14ac:dyDescent="0.25">
      <c r="B14" s="9">
        <v>9</v>
      </c>
      <c r="C14" s="10">
        <v>43975</v>
      </c>
      <c r="D14" s="9" t="s">
        <v>10</v>
      </c>
      <c r="E14" s="9" t="s">
        <v>27</v>
      </c>
      <c r="F14" s="11">
        <v>5</v>
      </c>
      <c r="G14" s="12">
        <v>200</v>
      </c>
      <c r="H14" s="25">
        <v>0.15</v>
      </c>
      <c r="I14" s="26">
        <v>150</v>
      </c>
      <c r="J14" s="26">
        <v>850</v>
      </c>
    </row>
    <row r="15" spans="2:13" x14ac:dyDescent="0.25">
      <c r="B15" s="18">
        <v>10</v>
      </c>
      <c r="C15" s="19">
        <v>43979</v>
      </c>
      <c r="D15" s="18" t="s">
        <v>12</v>
      </c>
      <c r="E15" s="18" t="s">
        <v>22</v>
      </c>
      <c r="F15" s="20">
        <v>5</v>
      </c>
      <c r="G15" s="21">
        <v>50</v>
      </c>
      <c r="H15" s="27">
        <v>0.05</v>
      </c>
      <c r="I15" s="28">
        <v>12.5</v>
      </c>
      <c r="J15" s="28">
        <v>237.5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o">
                <anchor moveWithCells="1" sizeWithCells="1">
                  <from>
                    <xdr:col>11</xdr:col>
                    <xdr:colOff>9525</xdr:colOff>
                    <xdr:row>6</xdr:row>
                    <xdr:rowOff>28575</xdr:rowOff>
                  </from>
                  <to>
                    <xdr:col>11</xdr:col>
                    <xdr:colOff>1133475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B806F-ACBE-4E6F-8D3F-851B7F292CAD}">
  <sheetPr codeName="Лист3"/>
  <dimension ref="A1:G100"/>
  <sheetViews>
    <sheetView workbookViewId="0">
      <selection activeCell="G15" sqref="G15"/>
    </sheetView>
  </sheetViews>
  <sheetFormatPr defaultRowHeight="15" x14ac:dyDescent="0.25"/>
  <cols>
    <col min="3" max="3" width="16.85546875" bestFit="1" customWidth="1"/>
    <col min="7" max="7" width="12.42578125" bestFit="1" customWidth="1"/>
  </cols>
  <sheetData>
    <row r="1" spans="1:7" x14ac:dyDescent="0.25">
      <c r="A1">
        <v>2</v>
      </c>
      <c r="B1">
        <v>1</v>
      </c>
      <c r="C1" t="s">
        <v>31</v>
      </c>
      <c r="D1">
        <v>-1</v>
      </c>
      <c r="E1" t="str">
        <f>IF(B1-D1&gt;50,"paid","no paid")</f>
        <v>no paid</v>
      </c>
      <c r="F1">
        <f>MAX(B1:B100)</f>
        <v>10000</v>
      </c>
      <c r="G1" t="s">
        <v>132</v>
      </c>
    </row>
    <row r="2" spans="1:7" x14ac:dyDescent="0.25">
      <c r="A2">
        <v>4</v>
      </c>
      <c r="B2">
        <v>4</v>
      </c>
      <c r="C2" t="s">
        <v>32</v>
      </c>
      <c r="D2">
        <v>-2</v>
      </c>
      <c r="E2" t="str">
        <f t="shared" ref="E2:E3" si="0">IF(B2-D2&gt;50,"paid","no paid")</f>
        <v>no paid</v>
      </c>
      <c r="F2">
        <f>SUM(B1:B200)</f>
        <v>338350</v>
      </c>
      <c r="G2" t="s">
        <v>131</v>
      </c>
    </row>
    <row r="3" spans="1:7" x14ac:dyDescent="0.25">
      <c r="A3">
        <v>6</v>
      </c>
      <c r="B3">
        <v>9</v>
      </c>
      <c r="C3" t="s">
        <v>33</v>
      </c>
      <c r="D3">
        <v>-3</v>
      </c>
      <c r="E3" t="str">
        <f t="shared" si="0"/>
        <v>no paid</v>
      </c>
      <c r="G3" t="s">
        <v>132</v>
      </c>
    </row>
    <row r="4" spans="1:7" x14ac:dyDescent="0.25">
      <c r="A4">
        <v>8</v>
      </c>
      <c r="B4">
        <v>16</v>
      </c>
      <c r="C4" t="s">
        <v>34</v>
      </c>
      <c r="D4">
        <v>-4</v>
      </c>
      <c r="E4" t="str">
        <f>IF(B4-D4&gt;150,"paid","no paid")</f>
        <v>no paid</v>
      </c>
      <c r="G4" t="s">
        <v>131</v>
      </c>
    </row>
    <row r="5" spans="1:7" x14ac:dyDescent="0.25">
      <c r="A5">
        <v>10</v>
      </c>
      <c r="B5">
        <v>25</v>
      </c>
      <c r="C5" t="s">
        <v>35</v>
      </c>
      <c r="D5">
        <v>-5</v>
      </c>
      <c r="E5" t="str">
        <f t="shared" ref="E5:E68" si="1">IF(B5-D5&gt;150,"paid","no paid")</f>
        <v>no paid</v>
      </c>
      <c r="G5" t="s">
        <v>132</v>
      </c>
    </row>
    <row r="6" spans="1:7" x14ac:dyDescent="0.25">
      <c r="A6">
        <v>12</v>
      </c>
      <c r="B6">
        <v>36</v>
      </c>
      <c r="C6" t="s">
        <v>36</v>
      </c>
      <c r="D6">
        <v>-6</v>
      </c>
      <c r="E6" t="str">
        <f t="shared" si="1"/>
        <v>no paid</v>
      </c>
      <c r="G6" t="s">
        <v>131</v>
      </c>
    </row>
    <row r="7" spans="1:7" x14ac:dyDescent="0.25">
      <c r="A7">
        <v>14</v>
      </c>
      <c r="B7">
        <v>49</v>
      </c>
      <c r="C7" t="s">
        <v>37</v>
      </c>
      <c r="D7">
        <v>-7</v>
      </c>
      <c r="E7" t="str">
        <f t="shared" si="1"/>
        <v>no paid</v>
      </c>
      <c r="G7" t="s">
        <v>132</v>
      </c>
    </row>
    <row r="8" spans="1:7" x14ac:dyDescent="0.25">
      <c r="A8">
        <v>16</v>
      </c>
      <c r="B8">
        <v>64</v>
      </c>
      <c r="C8" t="s">
        <v>38</v>
      </c>
      <c r="D8">
        <v>-8</v>
      </c>
      <c r="E8" t="str">
        <f t="shared" si="1"/>
        <v>no paid</v>
      </c>
      <c r="G8" t="s">
        <v>131</v>
      </c>
    </row>
    <row r="9" spans="1:7" x14ac:dyDescent="0.25">
      <c r="A9">
        <v>18</v>
      </c>
      <c r="B9">
        <v>81</v>
      </c>
      <c r="C9" t="s">
        <v>39</v>
      </c>
      <c r="D9">
        <v>-9</v>
      </c>
      <c r="E9" t="str">
        <f t="shared" si="1"/>
        <v>no paid</v>
      </c>
      <c r="G9" t="s">
        <v>132</v>
      </c>
    </row>
    <row r="10" spans="1:7" x14ac:dyDescent="0.25">
      <c r="A10">
        <v>20</v>
      </c>
      <c r="B10">
        <v>100</v>
      </c>
      <c r="C10" t="s">
        <v>40</v>
      </c>
      <c r="D10">
        <v>-10</v>
      </c>
      <c r="E10" t="str">
        <f t="shared" si="1"/>
        <v>no paid</v>
      </c>
      <c r="G10" t="s">
        <v>131</v>
      </c>
    </row>
    <row r="11" spans="1:7" x14ac:dyDescent="0.25">
      <c r="A11">
        <v>22</v>
      </c>
      <c r="B11">
        <v>121</v>
      </c>
      <c r="C11" t="s">
        <v>41</v>
      </c>
      <c r="D11">
        <v>-11</v>
      </c>
      <c r="E11" t="str">
        <f t="shared" si="1"/>
        <v>no paid</v>
      </c>
      <c r="G11" t="s">
        <v>132</v>
      </c>
    </row>
    <row r="12" spans="1:7" x14ac:dyDescent="0.25">
      <c r="A12">
        <v>24</v>
      </c>
      <c r="B12">
        <v>144</v>
      </c>
      <c r="C12" t="s">
        <v>42</v>
      </c>
      <c r="D12">
        <v>-12</v>
      </c>
      <c r="E12" t="str">
        <f t="shared" si="1"/>
        <v>paid</v>
      </c>
      <c r="G12" t="s">
        <v>131</v>
      </c>
    </row>
    <row r="13" spans="1:7" x14ac:dyDescent="0.25">
      <c r="A13">
        <v>26</v>
      </c>
      <c r="B13">
        <v>169</v>
      </c>
      <c r="C13" t="s">
        <v>43</v>
      </c>
      <c r="D13">
        <v>-13</v>
      </c>
      <c r="E13" t="str">
        <f t="shared" si="1"/>
        <v>paid</v>
      </c>
      <c r="G13" t="s">
        <v>132</v>
      </c>
    </row>
    <row r="14" spans="1:7" x14ac:dyDescent="0.25">
      <c r="A14">
        <v>28</v>
      </c>
      <c r="B14">
        <v>196</v>
      </c>
      <c r="C14" t="s">
        <v>44</v>
      </c>
      <c r="D14">
        <v>-14</v>
      </c>
      <c r="E14" t="str">
        <f t="shared" si="1"/>
        <v>paid</v>
      </c>
      <c r="G14" t="s">
        <v>131</v>
      </c>
    </row>
    <row r="15" spans="1:7" x14ac:dyDescent="0.25">
      <c r="A15">
        <v>30</v>
      </c>
      <c r="B15">
        <v>225</v>
      </c>
      <c r="C15" t="s">
        <v>45</v>
      </c>
      <c r="D15">
        <v>-15</v>
      </c>
      <c r="E15" t="str">
        <f t="shared" si="1"/>
        <v>paid</v>
      </c>
      <c r="G15" t="s">
        <v>132</v>
      </c>
    </row>
    <row r="16" spans="1:7" x14ac:dyDescent="0.25">
      <c r="A16">
        <v>32</v>
      </c>
      <c r="B16">
        <v>256</v>
      </c>
      <c r="C16" t="s">
        <v>46</v>
      </c>
      <c r="D16">
        <v>-16</v>
      </c>
      <c r="E16" t="str">
        <f t="shared" si="1"/>
        <v>paid</v>
      </c>
      <c r="G16" t="s">
        <v>131</v>
      </c>
    </row>
    <row r="17" spans="1:7" x14ac:dyDescent="0.25">
      <c r="A17">
        <v>34</v>
      </c>
      <c r="B17">
        <v>289</v>
      </c>
      <c r="C17" t="s">
        <v>47</v>
      </c>
      <c r="D17">
        <v>-17</v>
      </c>
      <c r="E17" t="str">
        <f t="shared" si="1"/>
        <v>paid</v>
      </c>
      <c r="G17" t="s">
        <v>132</v>
      </c>
    </row>
    <row r="18" spans="1:7" x14ac:dyDescent="0.25">
      <c r="A18">
        <v>36</v>
      </c>
      <c r="B18">
        <v>324</v>
      </c>
      <c r="C18" t="s">
        <v>48</v>
      </c>
      <c r="D18">
        <v>-18</v>
      </c>
      <c r="E18" t="str">
        <f t="shared" si="1"/>
        <v>paid</v>
      </c>
      <c r="G18" t="s">
        <v>131</v>
      </c>
    </row>
    <row r="19" spans="1:7" x14ac:dyDescent="0.25">
      <c r="A19">
        <v>38</v>
      </c>
      <c r="B19">
        <v>361</v>
      </c>
      <c r="C19" t="s">
        <v>49</v>
      </c>
      <c r="D19">
        <v>-19</v>
      </c>
      <c r="E19" t="str">
        <f t="shared" si="1"/>
        <v>paid</v>
      </c>
      <c r="G19" t="s">
        <v>132</v>
      </c>
    </row>
    <row r="20" spans="1:7" x14ac:dyDescent="0.25">
      <c r="A20">
        <v>40</v>
      </c>
      <c r="B20">
        <v>400</v>
      </c>
      <c r="C20" t="s">
        <v>50</v>
      </c>
      <c r="D20">
        <v>-20</v>
      </c>
      <c r="E20" t="str">
        <f t="shared" si="1"/>
        <v>paid</v>
      </c>
      <c r="G20" t="s">
        <v>131</v>
      </c>
    </row>
    <row r="21" spans="1:7" x14ac:dyDescent="0.25">
      <c r="A21">
        <v>42</v>
      </c>
      <c r="B21">
        <v>441</v>
      </c>
      <c r="C21" t="s">
        <v>51</v>
      </c>
      <c r="D21">
        <v>-21</v>
      </c>
      <c r="E21" t="str">
        <f t="shared" si="1"/>
        <v>paid</v>
      </c>
      <c r="G21" t="s">
        <v>132</v>
      </c>
    </row>
    <row r="22" spans="1:7" x14ac:dyDescent="0.25">
      <c r="A22">
        <v>44</v>
      </c>
      <c r="B22">
        <v>484</v>
      </c>
      <c r="C22" t="s">
        <v>52</v>
      </c>
      <c r="D22">
        <v>-22</v>
      </c>
      <c r="E22" t="str">
        <f t="shared" si="1"/>
        <v>paid</v>
      </c>
      <c r="G22" t="s">
        <v>131</v>
      </c>
    </row>
    <row r="23" spans="1:7" x14ac:dyDescent="0.25">
      <c r="A23">
        <v>46</v>
      </c>
      <c r="B23">
        <v>529</v>
      </c>
      <c r="C23" t="s">
        <v>53</v>
      </c>
      <c r="D23">
        <v>-23</v>
      </c>
      <c r="E23" t="str">
        <f t="shared" si="1"/>
        <v>paid</v>
      </c>
      <c r="G23" t="s">
        <v>132</v>
      </c>
    </row>
    <row r="24" spans="1:7" x14ac:dyDescent="0.25">
      <c r="A24">
        <v>48</v>
      </c>
      <c r="B24">
        <v>576</v>
      </c>
      <c r="C24" t="s">
        <v>54</v>
      </c>
      <c r="D24">
        <v>-24</v>
      </c>
      <c r="E24" t="str">
        <f t="shared" si="1"/>
        <v>paid</v>
      </c>
      <c r="G24" t="s">
        <v>131</v>
      </c>
    </row>
    <row r="25" spans="1:7" x14ac:dyDescent="0.25">
      <c r="A25">
        <v>50</v>
      </c>
      <c r="B25">
        <v>625</v>
      </c>
      <c r="C25" t="s">
        <v>55</v>
      </c>
      <c r="D25">
        <v>-25</v>
      </c>
      <c r="E25" t="str">
        <f t="shared" si="1"/>
        <v>paid</v>
      </c>
      <c r="G25" t="s">
        <v>132</v>
      </c>
    </row>
    <row r="26" spans="1:7" x14ac:dyDescent="0.25">
      <c r="A26">
        <v>52</v>
      </c>
      <c r="B26">
        <v>676</v>
      </c>
      <c r="C26" t="s">
        <v>56</v>
      </c>
      <c r="D26">
        <v>-26</v>
      </c>
      <c r="E26" t="str">
        <f t="shared" si="1"/>
        <v>paid</v>
      </c>
      <c r="G26" t="s">
        <v>131</v>
      </c>
    </row>
    <row r="27" spans="1:7" x14ac:dyDescent="0.25">
      <c r="A27">
        <v>54</v>
      </c>
      <c r="B27">
        <v>729</v>
      </c>
      <c r="C27" t="s">
        <v>57</v>
      </c>
      <c r="D27">
        <v>-27</v>
      </c>
      <c r="E27" t="str">
        <f t="shared" si="1"/>
        <v>paid</v>
      </c>
      <c r="G27" t="s">
        <v>132</v>
      </c>
    </row>
    <row r="28" spans="1:7" x14ac:dyDescent="0.25">
      <c r="A28">
        <v>56</v>
      </c>
      <c r="B28">
        <v>784</v>
      </c>
      <c r="C28" t="s">
        <v>58</v>
      </c>
      <c r="D28">
        <v>-28</v>
      </c>
      <c r="E28" t="str">
        <f t="shared" si="1"/>
        <v>paid</v>
      </c>
      <c r="G28" t="s">
        <v>131</v>
      </c>
    </row>
    <row r="29" spans="1:7" x14ac:dyDescent="0.25">
      <c r="A29">
        <v>58</v>
      </c>
      <c r="B29">
        <v>841</v>
      </c>
      <c r="C29" t="s">
        <v>59</v>
      </c>
      <c r="D29">
        <v>-29</v>
      </c>
      <c r="E29" t="str">
        <f t="shared" si="1"/>
        <v>paid</v>
      </c>
      <c r="G29" t="s">
        <v>132</v>
      </c>
    </row>
    <row r="30" spans="1:7" x14ac:dyDescent="0.25">
      <c r="A30">
        <v>60</v>
      </c>
      <c r="B30">
        <v>900</v>
      </c>
      <c r="C30" t="s">
        <v>60</v>
      </c>
      <c r="D30">
        <v>-30</v>
      </c>
      <c r="E30" t="str">
        <f t="shared" si="1"/>
        <v>paid</v>
      </c>
      <c r="G30" t="s">
        <v>131</v>
      </c>
    </row>
    <row r="31" spans="1:7" x14ac:dyDescent="0.25">
      <c r="A31">
        <v>62</v>
      </c>
      <c r="B31">
        <v>961</v>
      </c>
      <c r="C31" t="s">
        <v>61</v>
      </c>
      <c r="D31">
        <v>-31</v>
      </c>
      <c r="E31" t="str">
        <f t="shared" si="1"/>
        <v>paid</v>
      </c>
      <c r="G31" t="s">
        <v>132</v>
      </c>
    </row>
    <row r="32" spans="1:7" x14ac:dyDescent="0.25">
      <c r="A32">
        <v>64</v>
      </c>
      <c r="B32">
        <v>1024</v>
      </c>
      <c r="C32" t="s">
        <v>62</v>
      </c>
      <c r="D32">
        <v>-32</v>
      </c>
      <c r="E32" t="str">
        <f t="shared" si="1"/>
        <v>paid</v>
      </c>
      <c r="G32" t="s">
        <v>131</v>
      </c>
    </row>
    <row r="33" spans="1:7" x14ac:dyDescent="0.25">
      <c r="A33">
        <v>66</v>
      </c>
      <c r="B33">
        <v>1089</v>
      </c>
      <c r="C33" t="s">
        <v>63</v>
      </c>
      <c r="D33">
        <v>-33</v>
      </c>
      <c r="E33" t="str">
        <f t="shared" si="1"/>
        <v>paid</v>
      </c>
      <c r="G33" t="s">
        <v>132</v>
      </c>
    </row>
    <row r="34" spans="1:7" x14ac:dyDescent="0.25">
      <c r="A34">
        <v>68</v>
      </c>
      <c r="B34">
        <v>1156</v>
      </c>
      <c r="C34" t="s">
        <v>64</v>
      </c>
      <c r="D34">
        <v>-34</v>
      </c>
      <c r="E34" t="str">
        <f t="shared" si="1"/>
        <v>paid</v>
      </c>
      <c r="G34" t="s">
        <v>131</v>
      </c>
    </row>
    <row r="35" spans="1:7" x14ac:dyDescent="0.25">
      <c r="A35">
        <v>70</v>
      </c>
      <c r="B35">
        <v>1225</v>
      </c>
      <c r="C35" t="s">
        <v>65</v>
      </c>
      <c r="D35">
        <v>-35</v>
      </c>
      <c r="E35" t="str">
        <f t="shared" si="1"/>
        <v>paid</v>
      </c>
      <c r="G35" t="s">
        <v>132</v>
      </c>
    </row>
    <row r="36" spans="1:7" x14ac:dyDescent="0.25">
      <c r="A36">
        <v>72</v>
      </c>
      <c r="B36">
        <v>1296</v>
      </c>
      <c r="C36" t="s">
        <v>66</v>
      </c>
      <c r="D36">
        <v>-36</v>
      </c>
      <c r="E36" t="str">
        <f t="shared" si="1"/>
        <v>paid</v>
      </c>
      <c r="G36" t="s">
        <v>131</v>
      </c>
    </row>
    <row r="37" spans="1:7" x14ac:dyDescent="0.25">
      <c r="A37">
        <v>74</v>
      </c>
      <c r="B37">
        <v>1369</v>
      </c>
      <c r="C37" t="s">
        <v>67</v>
      </c>
      <c r="D37">
        <v>-37</v>
      </c>
      <c r="E37" t="str">
        <f t="shared" si="1"/>
        <v>paid</v>
      </c>
      <c r="G37" t="s">
        <v>132</v>
      </c>
    </row>
    <row r="38" spans="1:7" x14ac:dyDescent="0.25">
      <c r="A38">
        <v>76</v>
      </c>
      <c r="B38">
        <v>1444</v>
      </c>
      <c r="C38" t="s">
        <v>68</v>
      </c>
      <c r="D38">
        <v>-38</v>
      </c>
      <c r="E38" t="str">
        <f t="shared" si="1"/>
        <v>paid</v>
      </c>
      <c r="G38" t="s">
        <v>131</v>
      </c>
    </row>
    <row r="39" spans="1:7" x14ac:dyDescent="0.25">
      <c r="A39">
        <v>78</v>
      </c>
      <c r="B39">
        <v>1521</v>
      </c>
      <c r="C39" t="s">
        <v>69</v>
      </c>
      <c r="D39">
        <v>-39</v>
      </c>
      <c r="E39" t="str">
        <f t="shared" si="1"/>
        <v>paid</v>
      </c>
      <c r="G39" t="s">
        <v>132</v>
      </c>
    </row>
    <row r="40" spans="1:7" x14ac:dyDescent="0.25">
      <c r="A40">
        <v>80</v>
      </c>
      <c r="B40">
        <v>1600</v>
      </c>
      <c r="C40" t="s">
        <v>70</v>
      </c>
      <c r="D40">
        <v>-40</v>
      </c>
      <c r="E40" t="str">
        <f t="shared" si="1"/>
        <v>paid</v>
      </c>
      <c r="G40" t="s">
        <v>131</v>
      </c>
    </row>
    <row r="41" spans="1:7" x14ac:dyDescent="0.25">
      <c r="A41">
        <v>82</v>
      </c>
      <c r="B41">
        <v>1681</v>
      </c>
      <c r="C41" t="s">
        <v>71</v>
      </c>
      <c r="D41">
        <v>-41</v>
      </c>
      <c r="E41" t="str">
        <f t="shared" si="1"/>
        <v>paid</v>
      </c>
      <c r="G41" t="s">
        <v>132</v>
      </c>
    </row>
    <row r="42" spans="1:7" x14ac:dyDescent="0.25">
      <c r="A42">
        <v>84</v>
      </c>
      <c r="B42">
        <v>1764</v>
      </c>
      <c r="C42" t="s">
        <v>72</v>
      </c>
      <c r="D42">
        <v>-42</v>
      </c>
      <c r="E42" t="str">
        <f t="shared" si="1"/>
        <v>paid</v>
      </c>
      <c r="G42" t="s">
        <v>131</v>
      </c>
    </row>
    <row r="43" spans="1:7" x14ac:dyDescent="0.25">
      <c r="A43">
        <v>86</v>
      </c>
      <c r="B43">
        <v>1849</v>
      </c>
      <c r="C43" t="s">
        <v>73</v>
      </c>
      <c r="D43">
        <v>-43</v>
      </c>
      <c r="E43" t="str">
        <f t="shared" si="1"/>
        <v>paid</v>
      </c>
      <c r="G43" t="s">
        <v>132</v>
      </c>
    </row>
    <row r="44" spans="1:7" x14ac:dyDescent="0.25">
      <c r="A44">
        <v>88</v>
      </c>
      <c r="B44">
        <v>1936</v>
      </c>
      <c r="C44" t="s">
        <v>74</v>
      </c>
      <c r="D44">
        <v>-44</v>
      </c>
      <c r="E44" t="str">
        <f t="shared" si="1"/>
        <v>paid</v>
      </c>
      <c r="G44" t="s">
        <v>131</v>
      </c>
    </row>
    <row r="45" spans="1:7" x14ac:dyDescent="0.25">
      <c r="A45">
        <v>90</v>
      </c>
      <c r="B45">
        <v>2025</v>
      </c>
      <c r="C45" t="s">
        <v>75</v>
      </c>
      <c r="D45">
        <v>-45</v>
      </c>
      <c r="E45" t="str">
        <f t="shared" si="1"/>
        <v>paid</v>
      </c>
      <c r="G45" t="s">
        <v>132</v>
      </c>
    </row>
    <row r="46" spans="1:7" x14ac:dyDescent="0.25">
      <c r="A46">
        <v>92</v>
      </c>
      <c r="B46">
        <v>2116</v>
      </c>
      <c r="C46" t="s">
        <v>76</v>
      </c>
      <c r="D46">
        <v>-46</v>
      </c>
      <c r="E46" t="str">
        <f t="shared" si="1"/>
        <v>paid</v>
      </c>
      <c r="G46" t="s">
        <v>131</v>
      </c>
    </row>
    <row r="47" spans="1:7" x14ac:dyDescent="0.25">
      <c r="A47">
        <v>94</v>
      </c>
      <c r="B47">
        <v>2209</v>
      </c>
      <c r="C47" t="s">
        <v>77</v>
      </c>
      <c r="D47">
        <v>-47</v>
      </c>
      <c r="E47" t="str">
        <f t="shared" si="1"/>
        <v>paid</v>
      </c>
      <c r="G47" t="s">
        <v>132</v>
      </c>
    </row>
    <row r="48" spans="1:7" x14ac:dyDescent="0.25">
      <c r="A48">
        <v>96</v>
      </c>
      <c r="B48">
        <v>2304</v>
      </c>
      <c r="C48" t="s">
        <v>78</v>
      </c>
      <c r="D48">
        <v>-48</v>
      </c>
      <c r="E48" t="str">
        <f t="shared" si="1"/>
        <v>paid</v>
      </c>
      <c r="G48" t="s">
        <v>131</v>
      </c>
    </row>
    <row r="49" spans="1:7" x14ac:dyDescent="0.25">
      <c r="A49">
        <v>98</v>
      </c>
      <c r="B49">
        <v>2401</v>
      </c>
      <c r="C49" t="s">
        <v>79</v>
      </c>
      <c r="D49">
        <v>-49</v>
      </c>
      <c r="E49" t="str">
        <f t="shared" si="1"/>
        <v>paid</v>
      </c>
      <c r="G49" t="s">
        <v>132</v>
      </c>
    </row>
    <row r="50" spans="1:7" x14ac:dyDescent="0.25">
      <c r="A50">
        <v>100</v>
      </c>
      <c r="B50">
        <v>2500</v>
      </c>
      <c r="C50" t="s">
        <v>80</v>
      </c>
      <c r="D50">
        <v>-50</v>
      </c>
      <c r="E50" t="str">
        <f t="shared" si="1"/>
        <v>paid</v>
      </c>
      <c r="G50" t="s">
        <v>131</v>
      </c>
    </row>
    <row r="51" spans="1:7" x14ac:dyDescent="0.25">
      <c r="A51">
        <v>102</v>
      </c>
      <c r="B51">
        <v>2601</v>
      </c>
      <c r="C51" t="s">
        <v>81</v>
      </c>
      <c r="D51">
        <v>-51</v>
      </c>
      <c r="E51" t="str">
        <f t="shared" si="1"/>
        <v>paid</v>
      </c>
      <c r="G51" t="s">
        <v>132</v>
      </c>
    </row>
    <row r="52" spans="1:7" x14ac:dyDescent="0.25">
      <c r="A52">
        <v>104</v>
      </c>
      <c r="B52">
        <v>2704</v>
      </c>
      <c r="C52" t="s">
        <v>82</v>
      </c>
      <c r="D52">
        <v>-52</v>
      </c>
      <c r="E52" t="str">
        <f t="shared" si="1"/>
        <v>paid</v>
      </c>
      <c r="G52" t="s">
        <v>131</v>
      </c>
    </row>
    <row r="53" spans="1:7" x14ac:dyDescent="0.25">
      <c r="A53">
        <v>106</v>
      </c>
      <c r="B53">
        <v>2809</v>
      </c>
      <c r="C53" t="s">
        <v>83</v>
      </c>
      <c r="D53">
        <v>-53</v>
      </c>
      <c r="E53" t="str">
        <f t="shared" si="1"/>
        <v>paid</v>
      </c>
      <c r="G53" t="s">
        <v>132</v>
      </c>
    </row>
    <row r="54" spans="1:7" x14ac:dyDescent="0.25">
      <c r="A54">
        <v>108</v>
      </c>
      <c r="B54">
        <v>2916</v>
      </c>
      <c r="C54" t="s">
        <v>84</v>
      </c>
      <c r="D54">
        <v>-54</v>
      </c>
      <c r="E54" t="str">
        <f t="shared" si="1"/>
        <v>paid</v>
      </c>
      <c r="G54" t="s">
        <v>131</v>
      </c>
    </row>
    <row r="55" spans="1:7" x14ac:dyDescent="0.25">
      <c r="A55">
        <v>110</v>
      </c>
      <c r="B55">
        <v>3025</v>
      </c>
      <c r="C55" t="s">
        <v>85</v>
      </c>
      <c r="D55">
        <v>-55</v>
      </c>
      <c r="E55" t="str">
        <f t="shared" si="1"/>
        <v>paid</v>
      </c>
      <c r="G55" t="s">
        <v>132</v>
      </c>
    </row>
    <row r="56" spans="1:7" x14ac:dyDescent="0.25">
      <c r="A56">
        <v>112</v>
      </c>
      <c r="B56">
        <v>3136</v>
      </c>
      <c r="C56" t="s">
        <v>86</v>
      </c>
      <c r="D56">
        <v>-56</v>
      </c>
      <c r="E56" t="str">
        <f t="shared" si="1"/>
        <v>paid</v>
      </c>
      <c r="G56" t="s">
        <v>131</v>
      </c>
    </row>
    <row r="57" spans="1:7" x14ac:dyDescent="0.25">
      <c r="A57">
        <v>114</v>
      </c>
      <c r="B57">
        <v>3249</v>
      </c>
      <c r="C57" t="s">
        <v>87</v>
      </c>
      <c r="D57">
        <v>-57</v>
      </c>
      <c r="E57" t="str">
        <f t="shared" si="1"/>
        <v>paid</v>
      </c>
      <c r="G57" t="s">
        <v>132</v>
      </c>
    </row>
    <row r="58" spans="1:7" x14ac:dyDescent="0.25">
      <c r="A58">
        <v>116</v>
      </c>
      <c r="B58">
        <v>3364</v>
      </c>
      <c r="C58" t="s">
        <v>88</v>
      </c>
      <c r="D58">
        <v>-58</v>
      </c>
      <c r="E58" t="str">
        <f t="shared" si="1"/>
        <v>paid</v>
      </c>
      <c r="G58" t="s">
        <v>131</v>
      </c>
    </row>
    <row r="59" spans="1:7" x14ac:dyDescent="0.25">
      <c r="A59">
        <v>118</v>
      </c>
      <c r="B59">
        <v>3481</v>
      </c>
      <c r="C59" t="s">
        <v>89</v>
      </c>
      <c r="D59">
        <v>-59</v>
      </c>
      <c r="E59" t="str">
        <f t="shared" si="1"/>
        <v>paid</v>
      </c>
      <c r="G59" t="s">
        <v>132</v>
      </c>
    </row>
    <row r="60" spans="1:7" x14ac:dyDescent="0.25">
      <c r="A60">
        <v>120</v>
      </c>
      <c r="B60">
        <v>3600</v>
      </c>
      <c r="C60" t="s">
        <v>90</v>
      </c>
      <c r="D60">
        <v>-60</v>
      </c>
      <c r="E60" t="str">
        <f t="shared" si="1"/>
        <v>paid</v>
      </c>
      <c r="G60" t="s">
        <v>131</v>
      </c>
    </row>
    <row r="61" spans="1:7" x14ac:dyDescent="0.25">
      <c r="A61">
        <v>122</v>
      </c>
      <c r="B61">
        <v>3721</v>
      </c>
      <c r="C61" t="s">
        <v>91</v>
      </c>
      <c r="D61">
        <v>-61</v>
      </c>
      <c r="E61" t="str">
        <f t="shared" si="1"/>
        <v>paid</v>
      </c>
      <c r="G61" t="s">
        <v>132</v>
      </c>
    </row>
    <row r="62" spans="1:7" x14ac:dyDescent="0.25">
      <c r="A62">
        <v>124</v>
      </c>
      <c r="B62">
        <v>3844</v>
      </c>
      <c r="C62" t="s">
        <v>92</v>
      </c>
      <c r="D62">
        <v>-62</v>
      </c>
      <c r="E62" t="str">
        <f t="shared" si="1"/>
        <v>paid</v>
      </c>
      <c r="G62" t="s">
        <v>131</v>
      </c>
    </row>
    <row r="63" spans="1:7" x14ac:dyDescent="0.25">
      <c r="A63">
        <v>126</v>
      </c>
      <c r="B63">
        <v>3969</v>
      </c>
      <c r="C63" t="s">
        <v>93</v>
      </c>
      <c r="D63">
        <v>-63</v>
      </c>
      <c r="E63" t="str">
        <f t="shared" si="1"/>
        <v>paid</v>
      </c>
      <c r="G63" t="s">
        <v>132</v>
      </c>
    </row>
    <row r="64" spans="1:7" x14ac:dyDescent="0.25">
      <c r="A64">
        <v>128</v>
      </c>
      <c r="B64">
        <v>4096</v>
      </c>
      <c r="C64" t="s">
        <v>94</v>
      </c>
      <c r="D64">
        <v>-64</v>
      </c>
      <c r="E64" t="str">
        <f t="shared" si="1"/>
        <v>paid</v>
      </c>
      <c r="G64" t="s">
        <v>131</v>
      </c>
    </row>
    <row r="65" spans="1:7" x14ac:dyDescent="0.25">
      <c r="A65">
        <v>130</v>
      </c>
      <c r="B65">
        <v>4225</v>
      </c>
      <c r="C65" t="s">
        <v>95</v>
      </c>
      <c r="D65">
        <v>-65</v>
      </c>
      <c r="E65" t="str">
        <f t="shared" si="1"/>
        <v>paid</v>
      </c>
      <c r="G65" t="s">
        <v>132</v>
      </c>
    </row>
    <row r="66" spans="1:7" x14ac:dyDescent="0.25">
      <c r="A66">
        <v>132</v>
      </c>
      <c r="B66">
        <v>4356</v>
      </c>
      <c r="C66" t="s">
        <v>96</v>
      </c>
      <c r="D66">
        <v>-66</v>
      </c>
      <c r="E66" t="str">
        <f t="shared" si="1"/>
        <v>paid</v>
      </c>
      <c r="G66" t="s">
        <v>131</v>
      </c>
    </row>
    <row r="67" spans="1:7" x14ac:dyDescent="0.25">
      <c r="A67">
        <v>134</v>
      </c>
      <c r="B67">
        <v>4489</v>
      </c>
      <c r="C67" t="s">
        <v>97</v>
      </c>
      <c r="D67">
        <v>-67</v>
      </c>
      <c r="E67" t="str">
        <f t="shared" si="1"/>
        <v>paid</v>
      </c>
      <c r="G67" t="s">
        <v>132</v>
      </c>
    </row>
    <row r="68" spans="1:7" x14ac:dyDescent="0.25">
      <c r="A68">
        <v>136</v>
      </c>
      <c r="B68">
        <v>4624</v>
      </c>
      <c r="C68" t="s">
        <v>98</v>
      </c>
      <c r="D68">
        <v>-68</v>
      </c>
      <c r="E68" t="str">
        <f t="shared" si="1"/>
        <v>paid</v>
      </c>
      <c r="G68" t="s">
        <v>131</v>
      </c>
    </row>
    <row r="69" spans="1:7" x14ac:dyDescent="0.25">
      <c r="A69">
        <v>138</v>
      </c>
      <c r="B69">
        <v>4761</v>
      </c>
      <c r="C69" t="s">
        <v>99</v>
      </c>
      <c r="D69">
        <v>-69</v>
      </c>
      <c r="E69" t="str">
        <f t="shared" ref="E69:E100" si="2">IF(B69-D69&gt;150,"paid","no paid")</f>
        <v>paid</v>
      </c>
      <c r="G69" t="s">
        <v>132</v>
      </c>
    </row>
    <row r="70" spans="1:7" x14ac:dyDescent="0.25">
      <c r="A70">
        <v>140</v>
      </c>
      <c r="B70">
        <v>4900</v>
      </c>
      <c r="C70" t="s">
        <v>100</v>
      </c>
      <c r="D70">
        <v>-70</v>
      </c>
      <c r="E70" t="str">
        <f t="shared" si="2"/>
        <v>paid</v>
      </c>
      <c r="G70" t="s">
        <v>131</v>
      </c>
    </row>
    <row r="71" spans="1:7" x14ac:dyDescent="0.25">
      <c r="A71">
        <v>142</v>
      </c>
      <c r="B71">
        <v>5041</v>
      </c>
      <c r="C71" t="s">
        <v>101</v>
      </c>
      <c r="D71">
        <v>-71</v>
      </c>
      <c r="E71" t="str">
        <f t="shared" si="2"/>
        <v>paid</v>
      </c>
      <c r="G71" t="s">
        <v>132</v>
      </c>
    </row>
    <row r="72" spans="1:7" x14ac:dyDescent="0.25">
      <c r="A72">
        <v>144</v>
      </c>
      <c r="B72">
        <v>5184</v>
      </c>
      <c r="C72" t="s">
        <v>102</v>
      </c>
      <c r="D72">
        <v>-72</v>
      </c>
      <c r="E72" t="str">
        <f t="shared" si="2"/>
        <v>paid</v>
      </c>
      <c r="G72" t="s">
        <v>131</v>
      </c>
    </row>
    <row r="73" spans="1:7" x14ac:dyDescent="0.25">
      <c r="A73">
        <v>146</v>
      </c>
      <c r="B73">
        <v>5329</v>
      </c>
      <c r="C73" t="s">
        <v>103</v>
      </c>
      <c r="D73">
        <v>-73</v>
      </c>
      <c r="E73" t="str">
        <f t="shared" si="2"/>
        <v>paid</v>
      </c>
      <c r="G73" t="s">
        <v>132</v>
      </c>
    </row>
    <row r="74" spans="1:7" x14ac:dyDescent="0.25">
      <c r="A74">
        <v>148</v>
      </c>
      <c r="B74">
        <v>5476</v>
      </c>
      <c r="C74" t="s">
        <v>104</v>
      </c>
      <c r="D74">
        <v>-74</v>
      </c>
      <c r="E74" t="str">
        <f t="shared" si="2"/>
        <v>paid</v>
      </c>
      <c r="G74" t="s">
        <v>131</v>
      </c>
    </row>
    <row r="75" spans="1:7" x14ac:dyDescent="0.25">
      <c r="A75">
        <v>150</v>
      </c>
      <c r="B75">
        <v>5625</v>
      </c>
      <c r="C75" t="s">
        <v>105</v>
      </c>
      <c r="D75">
        <v>-75</v>
      </c>
      <c r="E75" t="str">
        <f t="shared" si="2"/>
        <v>paid</v>
      </c>
      <c r="G75" t="s">
        <v>132</v>
      </c>
    </row>
    <row r="76" spans="1:7" x14ac:dyDescent="0.25">
      <c r="A76">
        <v>152</v>
      </c>
      <c r="B76">
        <v>5776</v>
      </c>
      <c r="C76" t="s">
        <v>106</v>
      </c>
      <c r="D76">
        <v>-76</v>
      </c>
      <c r="E76" t="str">
        <f t="shared" si="2"/>
        <v>paid</v>
      </c>
      <c r="G76" t="s">
        <v>131</v>
      </c>
    </row>
    <row r="77" spans="1:7" x14ac:dyDescent="0.25">
      <c r="A77">
        <v>154</v>
      </c>
      <c r="B77">
        <v>5929</v>
      </c>
      <c r="C77" t="s">
        <v>107</v>
      </c>
      <c r="D77">
        <v>-77</v>
      </c>
      <c r="E77" t="str">
        <f t="shared" si="2"/>
        <v>paid</v>
      </c>
      <c r="G77" t="s">
        <v>132</v>
      </c>
    </row>
    <row r="78" spans="1:7" x14ac:dyDescent="0.25">
      <c r="A78">
        <v>156</v>
      </c>
      <c r="B78">
        <v>6084</v>
      </c>
      <c r="C78" t="s">
        <v>108</v>
      </c>
      <c r="D78">
        <v>-78</v>
      </c>
      <c r="E78" t="str">
        <f t="shared" si="2"/>
        <v>paid</v>
      </c>
      <c r="G78" t="s">
        <v>131</v>
      </c>
    </row>
    <row r="79" spans="1:7" x14ac:dyDescent="0.25">
      <c r="A79">
        <v>158</v>
      </c>
      <c r="B79">
        <v>6241</v>
      </c>
      <c r="C79" t="s">
        <v>109</v>
      </c>
      <c r="D79">
        <v>-79</v>
      </c>
      <c r="E79" t="str">
        <f t="shared" si="2"/>
        <v>paid</v>
      </c>
      <c r="G79" t="s">
        <v>132</v>
      </c>
    </row>
    <row r="80" spans="1:7" x14ac:dyDescent="0.25">
      <c r="A80">
        <v>160</v>
      </c>
      <c r="B80">
        <v>6400</v>
      </c>
      <c r="C80" t="s">
        <v>110</v>
      </c>
      <c r="D80">
        <v>-80</v>
      </c>
      <c r="E80" t="str">
        <f t="shared" si="2"/>
        <v>paid</v>
      </c>
      <c r="G80" t="s">
        <v>131</v>
      </c>
    </row>
    <row r="81" spans="1:7" x14ac:dyDescent="0.25">
      <c r="A81">
        <v>162</v>
      </c>
      <c r="B81">
        <v>6561</v>
      </c>
      <c r="C81" t="s">
        <v>111</v>
      </c>
      <c r="D81">
        <v>-81</v>
      </c>
      <c r="E81" t="str">
        <f t="shared" si="2"/>
        <v>paid</v>
      </c>
      <c r="G81" t="s">
        <v>132</v>
      </c>
    </row>
    <row r="82" spans="1:7" x14ac:dyDescent="0.25">
      <c r="A82">
        <v>164</v>
      </c>
      <c r="B82">
        <v>6724</v>
      </c>
      <c r="C82" t="s">
        <v>112</v>
      </c>
      <c r="D82">
        <v>-82</v>
      </c>
      <c r="E82" t="str">
        <f t="shared" si="2"/>
        <v>paid</v>
      </c>
      <c r="G82" t="s">
        <v>131</v>
      </c>
    </row>
    <row r="83" spans="1:7" x14ac:dyDescent="0.25">
      <c r="A83">
        <v>166</v>
      </c>
      <c r="B83">
        <v>6889</v>
      </c>
      <c r="C83" t="s">
        <v>113</v>
      </c>
      <c r="D83">
        <v>-83</v>
      </c>
      <c r="E83" t="str">
        <f t="shared" si="2"/>
        <v>paid</v>
      </c>
      <c r="G83" t="s">
        <v>132</v>
      </c>
    </row>
    <row r="84" spans="1:7" x14ac:dyDescent="0.25">
      <c r="A84">
        <v>168</v>
      </c>
      <c r="B84">
        <v>7056</v>
      </c>
      <c r="C84" t="s">
        <v>114</v>
      </c>
      <c r="D84">
        <v>-84</v>
      </c>
      <c r="E84" t="str">
        <f t="shared" si="2"/>
        <v>paid</v>
      </c>
      <c r="G84" t="s">
        <v>131</v>
      </c>
    </row>
    <row r="85" spans="1:7" x14ac:dyDescent="0.25">
      <c r="A85">
        <v>170</v>
      </c>
      <c r="B85">
        <v>7225</v>
      </c>
      <c r="C85" t="s">
        <v>115</v>
      </c>
      <c r="D85">
        <v>-85</v>
      </c>
      <c r="E85" t="str">
        <f t="shared" si="2"/>
        <v>paid</v>
      </c>
      <c r="G85" t="s">
        <v>132</v>
      </c>
    </row>
    <row r="86" spans="1:7" x14ac:dyDescent="0.25">
      <c r="A86">
        <v>172</v>
      </c>
      <c r="B86">
        <v>7396</v>
      </c>
      <c r="C86" t="s">
        <v>116</v>
      </c>
      <c r="D86">
        <v>-86</v>
      </c>
      <c r="E86" t="str">
        <f t="shared" si="2"/>
        <v>paid</v>
      </c>
      <c r="G86" t="s">
        <v>131</v>
      </c>
    </row>
    <row r="87" spans="1:7" x14ac:dyDescent="0.25">
      <c r="A87">
        <v>174</v>
      </c>
      <c r="B87">
        <v>7569</v>
      </c>
      <c r="C87" t="s">
        <v>117</v>
      </c>
      <c r="D87">
        <v>-87</v>
      </c>
      <c r="E87" t="str">
        <f t="shared" si="2"/>
        <v>paid</v>
      </c>
      <c r="G87" t="s">
        <v>132</v>
      </c>
    </row>
    <row r="88" spans="1:7" x14ac:dyDescent="0.25">
      <c r="A88">
        <v>176</v>
      </c>
      <c r="B88">
        <v>7744</v>
      </c>
      <c r="C88" t="s">
        <v>118</v>
      </c>
      <c r="D88">
        <v>-88</v>
      </c>
      <c r="E88" t="str">
        <f t="shared" si="2"/>
        <v>paid</v>
      </c>
      <c r="G88" t="s">
        <v>131</v>
      </c>
    </row>
    <row r="89" spans="1:7" x14ac:dyDescent="0.25">
      <c r="A89">
        <v>178</v>
      </c>
      <c r="B89">
        <v>7921</v>
      </c>
      <c r="C89" t="s">
        <v>119</v>
      </c>
      <c r="D89">
        <v>-89</v>
      </c>
      <c r="E89" t="str">
        <f t="shared" si="2"/>
        <v>paid</v>
      </c>
      <c r="G89" t="s">
        <v>132</v>
      </c>
    </row>
    <row r="90" spans="1:7" x14ac:dyDescent="0.25">
      <c r="A90">
        <v>180</v>
      </c>
      <c r="B90">
        <v>8100</v>
      </c>
      <c r="C90" t="s">
        <v>120</v>
      </c>
      <c r="D90">
        <v>-90</v>
      </c>
      <c r="E90" t="str">
        <f t="shared" si="2"/>
        <v>paid</v>
      </c>
      <c r="G90" t="s">
        <v>131</v>
      </c>
    </row>
    <row r="91" spans="1:7" x14ac:dyDescent="0.25">
      <c r="A91">
        <v>182</v>
      </c>
      <c r="B91">
        <v>8281</v>
      </c>
      <c r="C91" t="s">
        <v>121</v>
      </c>
      <c r="D91">
        <v>-91</v>
      </c>
      <c r="E91" t="str">
        <f t="shared" si="2"/>
        <v>paid</v>
      </c>
      <c r="G91" t="s">
        <v>132</v>
      </c>
    </row>
    <row r="92" spans="1:7" x14ac:dyDescent="0.25">
      <c r="A92">
        <v>184</v>
      </c>
      <c r="B92">
        <v>8464</v>
      </c>
      <c r="C92" t="s">
        <v>122</v>
      </c>
      <c r="D92">
        <v>-92</v>
      </c>
      <c r="E92" t="str">
        <f t="shared" si="2"/>
        <v>paid</v>
      </c>
      <c r="G92" t="s">
        <v>131</v>
      </c>
    </row>
    <row r="93" spans="1:7" x14ac:dyDescent="0.25">
      <c r="A93">
        <v>186</v>
      </c>
      <c r="B93">
        <v>8649</v>
      </c>
      <c r="C93" t="s">
        <v>123</v>
      </c>
      <c r="D93">
        <v>-93</v>
      </c>
      <c r="E93" t="str">
        <f t="shared" si="2"/>
        <v>paid</v>
      </c>
      <c r="G93" t="s">
        <v>132</v>
      </c>
    </row>
    <row r="94" spans="1:7" x14ac:dyDescent="0.25">
      <c r="A94">
        <v>188</v>
      </c>
      <c r="B94">
        <v>8836</v>
      </c>
      <c r="C94" t="s">
        <v>124</v>
      </c>
      <c r="D94">
        <v>-94</v>
      </c>
      <c r="E94" t="str">
        <f t="shared" si="2"/>
        <v>paid</v>
      </c>
      <c r="G94" t="s">
        <v>131</v>
      </c>
    </row>
    <row r="95" spans="1:7" x14ac:dyDescent="0.25">
      <c r="A95">
        <v>190</v>
      </c>
      <c r="B95">
        <v>9025</v>
      </c>
      <c r="C95" t="s">
        <v>125</v>
      </c>
      <c r="D95">
        <v>-95</v>
      </c>
      <c r="E95" t="str">
        <f t="shared" si="2"/>
        <v>paid</v>
      </c>
      <c r="G95" t="s">
        <v>132</v>
      </c>
    </row>
    <row r="96" spans="1:7" x14ac:dyDescent="0.25">
      <c r="A96">
        <v>192</v>
      </c>
      <c r="B96">
        <v>9216</v>
      </c>
      <c r="C96" t="s">
        <v>126</v>
      </c>
      <c r="D96">
        <v>-96</v>
      </c>
      <c r="E96" t="str">
        <f t="shared" si="2"/>
        <v>paid</v>
      </c>
      <c r="G96" t="s">
        <v>131</v>
      </c>
    </row>
    <row r="97" spans="1:7" x14ac:dyDescent="0.25">
      <c r="A97">
        <v>194</v>
      </c>
      <c r="B97">
        <v>9409</v>
      </c>
      <c r="C97" t="s">
        <v>127</v>
      </c>
      <c r="D97">
        <v>-97</v>
      </c>
      <c r="E97" t="str">
        <f t="shared" si="2"/>
        <v>paid</v>
      </c>
      <c r="G97" t="s">
        <v>132</v>
      </c>
    </row>
    <row r="98" spans="1:7" x14ac:dyDescent="0.25">
      <c r="A98">
        <v>196</v>
      </c>
      <c r="B98">
        <v>9604</v>
      </c>
      <c r="C98" t="s">
        <v>128</v>
      </c>
      <c r="D98">
        <v>-98</v>
      </c>
      <c r="E98" t="str">
        <f t="shared" si="2"/>
        <v>paid</v>
      </c>
      <c r="G98" t="s">
        <v>131</v>
      </c>
    </row>
    <row r="99" spans="1:7" x14ac:dyDescent="0.25">
      <c r="A99">
        <v>198</v>
      </c>
      <c r="B99">
        <v>9801</v>
      </c>
      <c r="C99" t="s">
        <v>129</v>
      </c>
      <c r="D99">
        <v>-99</v>
      </c>
      <c r="E99" t="str">
        <f t="shared" si="2"/>
        <v>paid</v>
      </c>
      <c r="G99" t="s">
        <v>132</v>
      </c>
    </row>
    <row r="100" spans="1:7" x14ac:dyDescent="0.25">
      <c r="A100">
        <v>200</v>
      </c>
      <c r="B100">
        <v>10000</v>
      </c>
      <c r="C100" t="s">
        <v>130</v>
      </c>
      <c r="D100">
        <v>-100</v>
      </c>
      <c r="E100" t="str">
        <f t="shared" si="2"/>
        <v>paid</v>
      </c>
      <c r="G100" t="s">
        <v>131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Листы</vt:lpstr>
      </vt:variant>
      <vt:variant>
        <vt:i4>4</vt:i4>
      </vt:variant>
      <vt:variant>
        <vt:lpstr>Диаграммы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Macros</vt:lpstr>
      <vt:lpstr>Orders</vt:lpstr>
      <vt:lpstr>ButtonGo</vt:lpstr>
      <vt:lpstr>Simple</vt:lpstr>
      <vt:lpstr>Диаграмма1</vt:lpstr>
      <vt:lpstr>Macros!Извлечь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K.</dc:creator>
  <cp:lastModifiedBy>денис шеховцов</cp:lastModifiedBy>
  <dcterms:created xsi:type="dcterms:W3CDTF">2020-06-06T12:21:58Z</dcterms:created>
  <dcterms:modified xsi:type="dcterms:W3CDTF">2024-03-10T19:58:55Z</dcterms:modified>
</cp:coreProperties>
</file>